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nbcuni-my.sharepoint.com/personal/206485273_tfayd_com/Documents/"/>
    </mc:Choice>
  </mc:AlternateContent>
  <xr:revisionPtr revIDLastSave="0" documentId="8_{57C68A08-8A4C-482C-B485-F315FCA3DE46}" xr6:coauthVersionLast="47" xr6:coauthVersionMax="47" xr10:uidLastSave="{00000000-0000-0000-0000-000000000000}"/>
  <workbookProtection workbookAlgorithmName="SHA-512" workbookHashValue="zF8HdPy/8u+bpt6efd5qp9qnFLmNikE1dVRlSL14bo6d5pkapufcIC/mAlXMahQGCLVOqROYaWe9BLV2ClMqew==" workbookSaltValue="gW1k8uYvG3qb3T6Obh/5Bg==" workbookSpinCount="100000" lockStructure="1"/>
  <bookViews>
    <workbookView xWindow="32460" yWindow="2820" windowWidth="31380" windowHeight="13995" firstSheet="1" activeTab="1" xr2:uid="{DE576D0C-86DD-491F-9911-8627B79B5685}"/>
  </bookViews>
  <sheets>
    <sheet name="Instructions" sheetId="5" r:id="rId1"/>
    <sheet name="Form " sheetId="8" r:id="rId2"/>
    <sheet name="Drop Down 1" sheetId="2" state="hidden" r:id="rId3"/>
    <sheet name="Drop Down 2" sheetId="4" state="hidden" r:id="rId4"/>
  </sheets>
  <definedNames>
    <definedName name="_xlnm._FilterDatabase" localSheetId="2" hidden="1">'Drop Down 1'!$A$2:$K$133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8" l="1"/>
  <c r="G29" i="8" l="1"/>
  <c r="G28" i="8"/>
  <c r="G27" i="8"/>
  <c r="G26" i="8"/>
  <c r="G30" i="8" l="1"/>
  <c r="G21" i="8" l="1"/>
  <c r="G35" i="8" l="1"/>
  <c r="G19" i="8" l="1"/>
  <c r="G25" i="8"/>
  <c r="G24" i="8"/>
  <c r="G23" i="8"/>
  <c r="G20" i="8" l="1"/>
  <c r="G48" i="8"/>
  <c r="G47" i="8"/>
  <c r="G46" i="8"/>
  <c r="G45" i="8"/>
  <c r="G44" i="8"/>
  <c r="G42" i="8"/>
  <c r="G41" i="8"/>
  <c r="G40" i="8"/>
  <c r="G38" i="8"/>
  <c r="G36" i="8" l="1"/>
  <c r="G34" i="8"/>
  <c r="G33" i="8"/>
  <c r="G16" i="8"/>
  <c r="G15" i="8"/>
  <c r="G14" i="8"/>
  <c r="G13" i="8"/>
  <c r="G12" i="8"/>
  <c r="G11" i="8"/>
  <c r="G9" i="8"/>
  <c r="G8" i="8"/>
  <c r="G7" i="8"/>
  <c r="G6" i="8"/>
  <c r="G22" i="8"/>
  <c r="G18" i="8"/>
</calcChain>
</file>

<file path=xl/sharedStrings.xml><?xml version="1.0" encoding="utf-8"?>
<sst xmlns="http://schemas.openxmlformats.org/spreadsheetml/2006/main" count="1712" uniqueCount="265">
  <si>
    <t>IMPORTANT INSTRUCTIONS</t>
  </si>
  <si>
    <t xml:space="preserve">Ensure all Mandatory fields are completed on the form (Enter N/A if not applicable)
</t>
  </si>
  <si>
    <t>Once this form is completed, please return in PDF format via Email to your NBCU contact. To save this document as PDF please follow these instructions:
1.Select 'File' in the top left of the form
2.Change file format to 'PDF'
3. Save
If you are unable to convert this to PDF, please take a picture of the document with your phone, save it and return it to your NBCU contact. 
There is also a word format of this document. If required, please get in touch with your NBCU contact.</t>
  </si>
  <si>
    <t xml:space="preserve">The form will be rejected if:
(a) It is in an editable version (Word, Excel etc)
(b) Some mandatory information is missing
</t>
  </si>
  <si>
    <t>FURTHER INFORMATION ON FORM FIELDS</t>
  </si>
  <si>
    <t xml:space="preserve">Field Information </t>
  </si>
  <si>
    <r>
      <t xml:space="preserve">VENDOR INFORMATION 
</t>
    </r>
    <r>
      <rPr>
        <sz val="12"/>
        <rFont val="GE Inspira"/>
      </rPr>
      <t>The purpose of this section is to collect general vendor information</t>
    </r>
  </si>
  <si>
    <t>ARE YOU A NEW OR EXISTING VENDOR?</t>
  </si>
  <si>
    <t>If you are a new vendor for NBCU, select 'New.’ If you are an existing vendor requesting a change or adding new bank details, select 'Existing.'</t>
  </si>
  <si>
    <t>PAYMENT TYPE</t>
  </si>
  <si>
    <t>Select the relevant payment type:
ACH should be selected for payment made within the USA. 
Wire / Electronic Bank Transfer can be selected for all other payments</t>
  </si>
  <si>
    <t>VENDOR NAME</t>
  </si>
  <si>
    <t>Enter Company Name or if individual, please provide your full name</t>
  </si>
  <si>
    <t>VENDOR ADDRESS</t>
  </si>
  <si>
    <t>Enter the Company or Trading Address</t>
  </si>
  <si>
    <t>TAX ID / SSN / VAT ID / TAX NUMBER</t>
  </si>
  <si>
    <t>Enter the relevant tax information as applicable</t>
  </si>
  <si>
    <t>REMITTANCE ADVICE EMAIL</t>
  </si>
  <si>
    <t>This email address will be used to contact you when NBCU issues a payment.  This email address may also be used to validate change requests received.</t>
  </si>
  <si>
    <r>
      <t xml:space="preserve">NEW BANK DETAILS 
</t>
    </r>
    <r>
      <rPr>
        <sz val="12"/>
        <rFont val="GE Inspira"/>
      </rPr>
      <t>This section requires information on the new bank account to be set up in our system.</t>
    </r>
  </si>
  <si>
    <t>BANK ACCOUNT HOLDER / PAYEE NAME</t>
  </si>
  <si>
    <t>Enter the bank account holder name of the new account</t>
  </si>
  <si>
    <t>BANK NAME</t>
  </si>
  <si>
    <t xml:space="preserve">Enter bank name of the new account </t>
  </si>
  <si>
    <t>BANK BRANCH ADDRESS</t>
  </si>
  <si>
    <t>Enter the bank branch address of the new account</t>
  </si>
  <si>
    <t>BANK ACCOUNT NUMBER</t>
  </si>
  <si>
    <t xml:space="preserve">Enter the new bank account number </t>
  </si>
  <si>
    <t>SELECT BANK COUNTRY</t>
  </si>
  <si>
    <t xml:space="preserve">Select the country of the new bank account  </t>
  </si>
  <si>
    <t xml:space="preserve">BANK ACCOUNT CURRENCY </t>
  </si>
  <si>
    <t xml:space="preserve">Please enter the 3-digit currency code (i.e. USD, EUR). If you are unsure of the currency code refer to: https://www.iban.com/currency-codes </t>
  </si>
  <si>
    <r>
      <t xml:space="preserve">COUNTRY SPECIFIC BANK DETAILS
</t>
    </r>
    <r>
      <rPr>
        <sz val="12"/>
        <rFont val="GE Inspira"/>
      </rPr>
      <t>This section will show the banking information we require based on the new bank account country</t>
    </r>
  </si>
  <si>
    <t>ABA ACH ROUTING - 9 DIGITS</t>
  </si>
  <si>
    <t>Enter the bank ABA routing number - 9 digit routing number required for ACH payment.</t>
  </si>
  <si>
    <t xml:space="preserve">ABA WIRE ROUTING - 9 DIGITS </t>
  </si>
  <si>
    <t>Enter the bank ABA routing number - 9 digit routing number required for WIRE payment. Some financial institutions use the same ABA for Wires &amp; ACH. If in doubt, please contact your financial institution for clarification.</t>
  </si>
  <si>
    <t>SWIFT / BIC - 8 OR 11 DIGITS</t>
  </si>
  <si>
    <t>Enter a valid SWIFT / BIC number, this is used to identify banks and financial institutions globally, they consists of 8-11 characters.</t>
  </si>
  <si>
    <r>
      <t>IBAN -</t>
    </r>
    <r>
      <rPr>
        <b/>
        <sz val="12"/>
        <color rgb="FFFF0000"/>
        <rFont val="GE Inspira"/>
      </rPr>
      <t xml:space="preserve"> </t>
    </r>
    <r>
      <rPr>
        <b/>
        <sz val="12"/>
        <rFont val="GE Inspira"/>
      </rPr>
      <t>NO OF DIGITS VARIES BY COUNTRY</t>
    </r>
  </si>
  <si>
    <t>Enter a valid IBAN, this is a standard international numbering system developed to identify a bank account. If in doubt, contact your bank or use this link https://www.iban.com/calculate-iban</t>
  </si>
  <si>
    <t xml:space="preserve">SORT CODE - 6 DIGITS </t>
  </si>
  <si>
    <t>Enter a valid 6 digit bank sort code, this is used in the UK bank account information to identify both the bank and the branch where the account is held.</t>
  </si>
  <si>
    <t xml:space="preserve">BSB - 6 DIGITS </t>
  </si>
  <si>
    <t>Enter a valid 6 digit BSB code, this is used in Australia to identify the bank branch &amp; financial institutions.</t>
  </si>
  <si>
    <t xml:space="preserve">BANK BRANCH OR TRANSIT CODE - 5 DIGITS 
BANK INSTITUTION NUMBER - 3 DIGITS </t>
  </si>
  <si>
    <t>Enter a valid 5 digit bank branch or transit code, this is used in Canada to identify the bank branch.
Enter a valid 3 digit bank institution number, this is used to identify a certain bank.</t>
  </si>
  <si>
    <t xml:space="preserve">IFSC NUMBER - 11 DIGITS </t>
  </si>
  <si>
    <t>Enter a valid 11 digit IFSC number, this is used in India to identify the bank branch participating in any RBI regulated funds transfer system.</t>
  </si>
  <si>
    <t xml:space="preserve">BANK BRANCH NAME </t>
  </si>
  <si>
    <t>Enter the bank branch name</t>
  </si>
  <si>
    <r>
      <t>CLABE NUMBER -</t>
    </r>
    <r>
      <rPr>
        <b/>
        <sz val="12"/>
        <rFont val="GE Inspira"/>
      </rPr>
      <t xml:space="preserve"> 18 DIGITS</t>
    </r>
    <r>
      <rPr>
        <b/>
        <sz val="12"/>
        <color theme="1"/>
        <rFont val="GE Inspira"/>
      </rPr>
      <t xml:space="preserve"> </t>
    </r>
  </si>
  <si>
    <t>Enter a valid 18 digit CLABE number (Clave Bancaria Estandarizada), this is used in Mexico to send and receive international transfers. It guarantees that inter-bank fund transfers and automatic service charges are made to the correct accounts.</t>
  </si>
  <si>
    <t xml:space="preserve">BANKGIRO NUMBER - 7 OR 8 DIGITS </t>
  </si>
  <si>
    <r>
      <t>Enter a valid 7 - 8 digit Bankgiro number, this is used in Sweden as a proprietary clearing system (a giro) for banks based in Sweden only. This cannot be used when paying from other countries or in other currencies than SEK.</t>
    </r>
    <r>
      <rPr>
        <sz val="11"/>
        <color theme="1"/>
        <rFont val="GE Inspira"/>
      </rPr>
      <t xml:space="preserve"> </t>
    </r>
  </si>
  <si>
    <t xml:space="preserve">ISR (ESR) NUMBER, POSTBANK ACCOUNT, BANK NUMBER </t>
  </si>
  <si>
    <t xml:space="preserve">Enter a valid 27 digit code, this is used in Switzerland as a payment procedure offered by the Swiss Postal Service to firms based in Switzerland. Postbank account and Bank Number can also be given here. </t>
  </si>
  <si>
    <t>OTHER BANK INFORMATION NOT LISTED ABOVE</t>
  </si>
  <si>
    <t>Enter any information needed which has not been included in the above fields, but will be required for NBCU to make payment to you.</t>
  </si>
  <si>
    <r>
      <rPr>
        <b/>
        <sz val="12"/>
        <rFont val="GE Inspira"/>
      </rPr>
      <t>INTERMEDIARY BANK DETAIL (IF APPLICABLE)</t>
    </r>
    <r>
      <rPr>
        <sz val="12"/>
        <rFont val="GE Inspira"/>
      </rPr>
      <t xml:space="preserve">
This section should be completed if you require NBCU to pay you through an Intermediary bank account. Failure to provide Intermediary/Correspondent Bank information when required may result in additional fees deducted from the payment and/or delayed/returned payments. NBCUniversal is not responsible for fees or delays in these cases.</t>
    </r>
  </si>
  <si>
    <t>INTERMEDIARY BANK REQUIRED?</t>
  </si>
  <si>
    <t>Select 'No' if there is no Intermediary bank required. If NBCU is required to pay through an Intermediary Bank please select 'Yes'. Field 27 to 30 will be mandatory if 'Yes' is selected</t>
  </si>
  <si>
    <t>INTERMEDIARY BANK NAME</t>
  </si>
  <si>
    <t xml:space="preserve">Enter the new Intermediary Bank Name </t>
  </si>
  <si>
    <t xml:space="preserve">INTERMEDIARY BANK COUNTRY </t>
  </si>
  <si>
    <t>Select the new Intermediary Bank Country</t>
  </si>
  <si>
    <t>INTERMEDIARY SWIFT CODE</t>
  </si>
  <si>
    <t xml:space="preserve">Enter the swift code of the new Intermediary Bank </t>
  </si>
  <si>
    <t>INTERMEDIARY BANK KEY/ BSB / SORT CODE / ABA ROUTING</t>
  </si>
  <si>
    <t xml:space="preserve">Enter the relevant banking information for the new Intermediary Bank </t>
  </si>
  <si>
    <r>
      <t xml:space="preserve">PREVIOUS BANK DETAILS 
</t>
    </r>
    <r>
      <rPr>
        <sz val="12"/>
        <rFont val="GE Inspira"/>
      </rPr>
      <t>This section will be mandatory if you are an existing vendor. Please enter the information of the previous bank account we hold on our records.</t>
    </r>
  </si>
  <si>
    <t xml:space="preserve">Enter the previous Bank Account Holder / Payee Name  </t>
  </si>
  <si>
    <t>Enter the previous Bank Name</t>
  </si>
  <si>
    <t xml:space="preserve">BANK ACCOUNT NUMBER </t>
  </si>
  <si>
    <t>Enter the previous Bank Account Number</t>
  </si>
  <si>
    <t>IS THIS BANK ACCOUNT CLOSED?</t>
  </si>
  <si>
    <t>Select Yes or No - if the previous Bank Account is closed</t>
  </si>
  <si>
    <t>SHOULD THIS BE DELETED  IN OUR SYSTEM?</t>
  </si>
  <si>
    <t>Select Yes or No - if the previous Bank Account should be deleted in NBCU`s system</t>
  </si>
  <si>
    <t>AUTHORISED SIGNATORY</t>
  </si>
  <si>
    <t>NAME</t>
  </si>
  <si>
    <t xml:space="preserve">Enter your Full Name </t>
  </si>
  <si>
    <t>JOB TITLE</t>
  </si>
  <si>
    <t xml:space="preserve">Enter your Job Title </t>
  </si>
  <si>
    <t xml:space="preserve">PHONE NUMBER </t>
  </si>
  <si>
    <t>Enter your contact telephone number including dialing/area code</t>
  </si>
  <si>
    <t>EMAIL</t>
  </si>
  <si>
    <t xml:space="preserve">Enter your email address </t>
  </si>
  <si>
    <t>Date (MM/DD/YY)</t>
  </si>
  <si>
    <t xml:space="preserve">Enter the date when the form was completed </t>
  </si>
  <si>
    <t>ADDITIONAL COMMENTS</t>
  </si>
  <si>
    <t>Enter any additional information required by NBCU to make a payment to you.</t>
  </si>
  <si>
    <t>NBCU Global Vendor Bank Detail Form</t>
  </si>
  <si>
    <t xml:space="preserve">VENDOR INFORMATION </t>
  </si>
  <si>
    <t>SELECT</t>
  </si>
  <si>
    <t>Select from drop down</t>
  </si>
  <si>
    <t>NEW BANK DETAILS</t>
  </si>
  <si>
    <t xml:space="preserve">SELECT </t>
  </si>
  <si>
    <t>COUNTRY SPECIFIC BANK INFORMATION</t>
  </si>
  <si>
    <t>US ONLY</t>
  </si>
  <si>
    <t xml:space="preserve">ALL COUNTRIES </t>
  </si>
  <si>
    <t>IBAN - NO OF DIGITS VARIES BY COUNTRY</t>
  </si>
  <si>
    <t>EU &amp; OTHER COUNTRIES</t>
  </si>
  <si>
    <t>UK ONLY</t>
  </si>
  <si>
    <t>AUSTRALIA &amp; NEW ZEALAND ONLY</t>
  </si>
  <si>
    <r>
      <t>BANK BRANCH OR TRANSIT CODE -</t>
    </r>
    <r>
      <rPr>
        <sz val="16"/>
        <rFont val="GE Inspira"/>
      </rPr>
      <t xml:space="preserve"> 5 DIGITS</t>
    </r>
    <r>
      <rPr>
        <sz val="16"/>
        <color theme="1"/>
        <rFont val="GE Inspira"/>
      </rPr>
      <t xml:space="preserve"> 
BANK INSTITUTION NUMBER - 3 DIGITS </t>
    </r>
  </si>
  <si>
    <t>CANADA ONLY</t>
  </si>
  <si>
    <t>INDIA ONLY</t>
  </si>
  <si>
    <t xml:space="preserve">JAPAN ONLY </t>
  </si>
  <si>
    <r>
      <t>CLABE NUMBER -</t>
    </r>
    <r>
      <rPr>
        <sz val="16"/>
        <rFont val="GE Inspira"/>
      </rPr>
      <t xml:space="preserve"> 18 DIGITS</t>
    </r>
    <r>
      <rPr>
        <sz val="16"/>
        <color theme="1"/>
        <rFont val="GE Inspira"/>
      </rPr>
      <t xml:space="preserve"> </t>
    </r>
  </si>
  <si>
    <t>MEXICO ONLY</t>
  </si>
  <si>
    <r>
      <t>BANKGIRO NUMBER -</t>
    </r>
    <r>
      <rPr>
        <sz val="16"/>
        <rFont val="GE Inspira"/>
      </rPr>
      <t xml:space="preserve"> 7 OR 8 DIGITS</t>
    </r>
    <r>
      <rPr>
        <sz val="16"/>
        <color rgb="FFFF0000"/>
        <rFont val="GE Inspira"/>
      </rPr>
      <t xml:space="preserve"> </t>
    </r>
  </si>
  <si>
    <t>SWEDEN ONLY</t>
  </si>
  <si>
    <t>SWITZERLAND ONLY</t>
  </si>
  <si>
    <t>INTERMEDIARY BANK DETAIL (IF APPLICABLE)</t>
  </si>
  <si>
    <t xml:space="preserve">PREVIOUS BANK DETAILS  </t>
  </si>
  <si>
    <t>DATE (MM/DD/YY)</t>
  </si>
  <si>
    <t>Bank Ctry</t>
  </si>
  <si>
    <t xml:space="preserve">TRANSIT CODE - 5 DIGITS </t>
  </si>
  <si>
    <t xml:space="preserve">CLABE NUMBER - 18 DIGITS </t>
  </si>
  <si>
    <t>N/A</t>
  </si>
  <si>
    <t>OTHER -Add country in comments</t>
  </si>
  <si>
    <t>Optional</t>
  </si>
  <si>
    <t>ALBANIA</t>
  </si>
  <si>
    <t xml:space="preserve">Optional </t>
  </si>
  <si>
    <t>ARGENTINA</t>
  </si>
  <si>
    <t>AUSTRALIA</t>
  </si>
  <si>
    <t>Mandatory</t>
  </si>
  <si>
    <t>AUSTRIA</t>
  </si>
  <si>
    <t>BAHAMAS</t>
  </si>
  <si>
    <t>BAHRAIN</t>
  </si>
  <si>
    <t>BARBADOS</t>
  </si>
  <si>
    <t>BELARUS</t>
  </si>
  <si>
    <t>BELGIUM</t>
  </si>
  <si>
    <t>BELIZE</t>
  </si>
  <si>
    <t>BERMUDA</t>
  </si>
  <si>
    <t>BOLIVIA</t>
  </si>
  <si>
    <t>BOSNIA AND HERZEGOVINA</t>
  </si>
  <si>
    <t>BRAZIL</t>
  </si>
  <si>
    <t>BRITISG VIRIGN ISLANDS</t>
  </si>
  <si>
    <t xml:space="preserve">BRUNEI </t>
  </si>
  <si>
    <t>BULGARIA</t>
  </si>
  <si>
    <t>CAMBODIA</t>
  </si>
  <si>
    <t>CANADA</t>
  </si>
  <si>
    <t>CAYMAN ISLANDS</t>
  </si>
  <si>
    <t>CHILE</t>
  </si>
  <si>
    <t>CHINA</t>
  </si>
  <si>
    <t>COLOMBIA</t>
  </si>
  <si>
    <t>COSTA RICA</t>
  </si>
  <si>
    <t>CROATIA</t>
  </si>
  <si>
    <t>CYPRUS</t>
  </si>
  <si>
    <t>CZECH REPUBLIC</t>
  </si>
  <si>
    <t>DENMARK</t>
  </si>
  <si>
    <t>DOMINICAN REP.</t>
  </si>
  <si>
    <t>ECUADOR</t>
  </si>
  <si>
    <t>EGYPT</t>
  </si>
  <si>
    <t>EL SALVADOR</t>
  </si>
  <si>
    <t>ESTONIA</t>
  </si>
  <si>
    <t>ETHIOPIA</t>
  </si>
  <si>
    <t>FIJI</t>
  </si>
  <si>
    <t>FINLAND</t>
  </si>
  <si>
    <t>FRANCE</t>
  </si>
  <si>
    <t>GEORGIA</t>
  </si>
  <si>
    <t>GERMANY</t>
  </si>
  <si>
    <t>GHANA</t>
  </si>
  <si>
    <t>GIBRALTAR</t>
  </si>
  <si>
    <t>GREECE</t>
  </si>
  <si>
    <t>GUADELOUPE</t>
  </si>
  <si>
    <t>GUATEMALA</t>
  </si>
  <si>
    <t>HONDURAS</t>
  </si>
  <si>
    <t>HONG KONG</t>
  </si>
  <si>
    <t>HUNGARY</t>
  </si>
  <si>
    <t>ICELAND</t>
  </si>
  <si>
    <t>INDIA</t>
  </si>
  <si>
    <t>INDONESIA</t>
  </si>
  <si>
    <t>IRAQ</t>
  </si>
  <si>
    <t>IRELAND</t>
  </si>
  <si>
    <t>ISLE OF MAN</t>
  </si>
  <si>
    <t>ISRAEL</t>
  </si>
  <si>
    <t>ITALY</t>
  </si>
  <si>
    <t>IVORY COAST</t>
  </si>
  <si>
    <t>JAMAICA</t>
  </si>
  <si>
    <t>JAPAN</t>
  </si>
  <si>
    <t>JERSEY</t>
  </si>
  <si>
    <t>JORDAN</t>
  </si>
  <si>
    <t>KAZAKHSTAN</t>
  </si>
  <si>
    <t>KENYA</t>
  </si>
  <si>
    <t>KOSOVO</t>
  </si>
  <si>
    <t>KUWAIT</t>
  </si>
  <si>
    <t>LATVIA</t>
  </si>
  <si>
    <t>LEBANON</t>
  </si>
  <si>
    <t>LIECHTENSTEIN</t>
  </si>
  <si>
    <t>LITHUANIA</t>
  </si>
  <si>
    <t>LUXEMBOURG</t>
  </si>
  <si>
    <t>MACAU</t>
  </si>
  <si>
    <t>MACEDONIA</t>
  </si>
  <si>
    <t>MALAWI</t>
  </si>
  <si>
    <t>MALAYSIA</t>
  </si>
  <si>
    <t>MALTA</t>
  </si>
  <si>
    <t>MAURITIUS</t>
  </si>
  <si>
    <t>MEXICO</t>
  </si>
  <si>
    <t>MOLDAVIA</t>
  </si>
  <si>
    <t>MONACO</t>
  </si>
  <si>
    <t>MONGOLIA</t>
  </si>
  <si>
    <t>MOROCCO</t>
  </si>
  <si>
    <t>NAMIBIA</t>
  </si>
  <si>
    <t>NEPAL</t>
  </si>
  <si>
    <t>NETHERLANDS</t>
  </si>
  <si>
    <t>NEW ZEALAND</t>
  </si>
  <si>
    <t>NICARAGUA</t>
  </si>
  <si>
    <t>NIGERIA</t>
  </si>
  <si>
    <t>NORWAY</t>
  </si>
  <si>
    <t>PAKISTAN</t>
  </si>
  <si>
    <t>PANAMA</t>
  </si>
  <si>
    <t>PARAGUAY</t>
  </si>
  <si>
    <t>PERU</t>
  </si>
  <si>
    <t>PHILIPPINES</t>
  </si>
  <si>
    <t>POLAND</t>
  </si>
  <si>
    <t>PORTUGAL</t>
  </si>
  <si>
    <t>PUERTO RICO</t>
  </si>
  <si>
    <t>QATAR</t>
  </si>
  <si>
    <t>ROMANIA</t>
  </si>
  <si>
    <t>RUANDA</t>
  </si>
  <si>
    <t>RUSSIAN FED.</t>
  </si>
  <si>
    <t>SAUDI ARABIA</t>
  </si>
  <si>
    <t>SENEGAL</t>
  </si>
  <si>
    <t>SERBIA</t>
  </si>
  <si>
    <t>SEYCHELLES</t>
  </si>
  <si>
    <t>SINGAPORE</t>
  </si>
  <si>
    <t>SLOVAKIA</t>
  </si>
  <si>
    <t>SLOVENIA</t>
  </si>
  <si>
    <t>SOUTH AFRICA</t>
  </si>
  <si>
    <t>SOUTH KOREA</t>
  </si>
  <si>
    <t>SPAIN</t>
  </si>
  <si>
    <t>SRI LANKA</t>
  </si>
  <si>
    <t>ST. HELENA</t>
  </si>
  <si>
    <t>SURINAME</t>
  </si>
  <si>
    <t>SWAZILAND</t>
  </si>
  <si>
    <t>SWEDEN</t>
  </si>
  <si>
    <t>SWITZERLAND</t>
  </si>
  <si>
    <t>TAIWAN</t>
  </si>
  <si>
    <t>THAILAND</t>
  </si>
  <si>
    <t>TRINIDAD,TOBAGO</t>
  </si>
  <si>
    <t>TUNISIA</t>
  </si>
  <si>
    <t>TURKEY</t>
  </si>
  <si>
    <t>U.S. VIRGIN ISLANDS</t>
  </si>
  <si>
    <t>UGANDA</t>
  </si>
  <si>
    <t>UKRAINE</t>
  </si>
  <si>
    <t>UNITED KINGDOM</t>
  </si>
  <si>
    <t>URUGUAY</t>
  </si>
  <si>
    <t>USA</t>
  </si>
  <si>
    <t>UTD.ARAB EMIR.</t>
  </si>
  <si>
    <t>VENEZUELA</t>
  </si>
  <si>
    <t>VIETNAM</t>
  </si>
  <si>
    <t xml:space="preserve">NEW / EXISTING VENDOR </t>
  </si>
  <si>
    <t xml:space="preserve">TYPE OF PAYMENT </t>
  </si>
  <si>
    <t xml:space="preserve">INTERMEDIARY BANK? </t>
  </si>
  <si>
    <t xml:space="preserve">NEW </t>
  </si>
  <si>
    <t>ACH</t>
  </si>
  <si>
    <t xml:space="preserve">YES </t>
  </si>
  <si>
    <t>YES</t>
  </si>
  <si>
    <t xml:space="preserve">EXISTING </t>
  </si>
  <si>
    <t>WIRE / ELECTRONIC BANK TRANSFER</t>
  </si>
  <si>
    <t>NO</t>
  </si>
  <si>
    <t>NBCU Global Vendor Bank Detail Form Version 2.0 (January 8th,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</si>
</sst>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8">
    <font>
      <sz val="11"/>
      <color theme="1"/>
      <name val="Calibri"/>
      <family val="2"/>
      <scheme val="minor"/>
    </font>
    <font>
      <sz val="10"/>
      <color theme="1"/>
      <name val="Cambria"/>
      <family val="1"/>
    </font>
    <font>
      <sz val="8"/>
      <color theme="1"/>
      <name val="Cambria"/>
      <family val="1"/>
    </font>
    <font>
      <b/>
      <sz val="8"/>
      <color theme="1"/>
      <name val="Cambria"/>
      <family val="1"/>
    </font>
    <font>
      <b/>
      <sz val="8"/>
      <name val="Cambria"/>
      <family val="1"/>
    </font>
    <font>
      <sz val="8"/>
      <name val="Cambria"/>
      <family val="1"/>
    </font>
    <font>
      <sz val="10"/>
      <color theme="1"/>
      <name val="GE Inspira"/>
    </font>
    <font>
      <b/>
      <sz val="12"/>
      <color theme="0"/>
      <name val="GE Inspira"/>
    </font>
    <font>
      <sz val="12"/>
      <color theme="1"/>
      <name val="Cambria"/>
      <family val="1"/>
    </font>
    <font>
      <sz val="14"/>
      <color theme="1"/>
      <name val="GE Inspira"/>
    </font>
    <font>
      <sz val="11"/>
      <color theme="1"/>
      <name val="GE InspiraArial"/>
    </font>
    <font>
      <sz val="16"/>
      <color theme="1"/>
      <name val="GE Inspira"/>
    </font>
    <font>
      <sz val="16"/>
      <name val="GE Inspira"/>
    </font>
    <font>
      <sz val="16"/>
      <color rgb="FFFF0000"/>
      <name val="GE Inspira"/>
    </font>
    <font>
      <b/>
      <sz val="11"/>
      <color theme="1"/>
      <name val="GE InspiraArial"/>
    </font>
    <font>
      <b/>
      <sz val="18"/>
      <name val="GE Inspira"/>
    </font>
    <font>
      <b/>
      <sz val="12"/>
      <name val="GE Inspira"/>
    </font>
    <font>
      <sz val="12"/>
      <name val="GE Inspira"/>
    </font>
    <font>
      <sz val="14.5"/>
      <color theme="1"/>
      <name val="GE Inspira"/>
    </font>
    <font>
      <b/>
      <sz val="16"/>
      <color theme="1"/>
      <name val="GE Inspira"/>
    </font>
    <font>
      <b/>
      <sz val="28"/>
      <color theme="0"/>
      <name val="GE Inspira"/>
    </font>
    <font>
      <sz val="12"/>
      <color theme="1"/>
      <name val="GE Inspira"/>
    </font>
    <font>
      <b/>
      <sz val="12"/>
      <color theme="1"/>
      <name val="GE Inspira"/>
    </font>
    <font>
      <b/>
      <sz val="12"/>
      <color rgb="FFFF0000"/>
      <name val="GE Inspira"/>
    </font>
    <font>
      <b/>
      <sz val="14"/>
      <color theme="0"/>
      <name val="GE Inspira"/>
    </font>
    <font>
      <i/>
      <sz val="14"/>
      <color theme="1"/>
      <name val="GE Inspira"/>
    </font>
    <font>
      <sz val="11"/>
      <color theme="1"/>
      <name val="GE Inspira"/>
    </font>
    <font>
      <i/>
      <sz val="14"/>
      <name val="GE Inspira"/>
    </font>
  </fonts>
  <fills count="7">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7C8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0" fontId="1" fillId="0" borderId="0" xfId="0" applyFont="1"/>
    <xf numFmtId="0" fontId="3" fillId="2" borderId="1" xfId="0" applyFont="1" applyFill="1" applyBorder="1"/>
    <xf numFmtId="0" fontId="4" fillId="0" borderId="1" xfId="0" applyFont="1" applyBorder="1" applyAlignment="1">
      <alignment horizontal="center"/>
    </xf>
    <xf numFmtId="0" fontId="3" fillId="0" borderId="0" xfId="0" applyFont="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xf>
    <xf numFmtId="0" fontId="2" fillId="0" borderId="0" xfId="0" applyFont="1"/>
    <xf numFmtId="0" fontId="5" fillId="0" borderId="0" xfId="0" applyFont="1" applyAlignment="1">
      <alignment horizontal="left"/>
    </xf>
    <xf numFmtId="0" fontId="5" fillId="0" borderId="0" xfId="0" applyFont="1" applyAlignment="1">
      <alignment horizontal="center"/>
    </xf>
    <xf numFmtId="0" fontId="1" fillId="0" borderId="0" xfId="0" applyFont="1" applyAlignment="1">
      <alignment horizontal="center" vertical="center"/>
    </xf>
    <xf numFmtId="0" fontId="6" fillId="0" borderId="0" xfId="0" applyFont="1"/>
    <xf numFmtId="0" fontId="4" fillId="0" borderId="1" xfId="0" applyFont="1" applyBorder="1" applyAlignment="1">
      <alignment horizontal="left"/>
    </xf>
    <xf numFmtId="0" fontId="4" fillId="0" borderId="1" xfId="0" applyFont="1" applyBorder="1" applyAlignment="1">
      <alignment horizontal="left" vertical="center"/>
    </xf>
    <xf numFmtId="0" fontId="8" fillId="0" borderId="0" xfId="0" applyFont="1"/>
    <xf numFmtId="0" fontId="6" fillId="0" borderId="0" xfId="0" applyFont="1" applyAlignment="1">
      <alignment horizontal="center" vertical="center"/>
    </xf>
    <xf numFmtId="0" fontId="11" fillId="2" borderId="1" xfId="0" applyFont="1" applyFill="1" applyBorder="1" applyAlignment="1">
      <alignment vertical="center"/>
    </xf>
    <xf numFmtId="0" fontId="11" fillId="0" borderId="1" xfId="0" applyFont="1" applyBorder="1" applyAlignment="1">
      <alignment vertical="center"/>
    </xf>
    <xf numFmtId="0" fontId="12" fillId="2" borderId="1" xfId="0" applyFont="1" applyFill="1" applyBorder="1" applyAlignment="1">
      <alignment vertical="center"/>
    </xf>
    <xf numFmtId="0" fontId="12" fillId="0" borderId="1" xfId="0" applyFont="1" applyBorder="1" applyAlignment="1">
      <alignment vertical="center"/>
    </xf>
    <xf numFmtId="0" fontId="11" fillId="0" borderId="0" xfId="0" applyFont="1"/>
    <xf numFmtId="0" fontId="14" fillId="0" borderId="0" xfId="0" applyFont="1"/>
    <xf numFmtId="0" fontId="14" fillId="0" borderId="0" xfId="0" applyFont="1" applyAlignment="1">
      <alignment horizontal="left"/>
    </xf>
    <xf numFmtId="0" fontId="10" fillId="0" borderId="0" xfId="0" applyFont="1"/>
    <xf numFmtId="0" fontId="10" fillId="0" borderId="0" xfId="0" applyFont="1" applyAlignment="1">
      <alignment horizontal="left" vertical="top" wrapText="1"/>
    </xf>
    <xf numFmtId="0" fontId="9" fillId="0" borderId="2" xfId="0" applyFont="1" applyBorder="1" applyAlignment="1">
      <alignment horizontal="center" vertical="center"/>
    </xf>
    <xf numFmtId="0" fontId="18" fillId="0" borderId="2" xfId="0" applyFont="1" applyBorder="1" applyAlignment="1">
      <alignment horizontal="center" vertical="center"/>
    </xf>
    <xf numFmtId="0" fontId="11" fillId="2" borderId="1" xfId="0" applyFont="1" applyFill="1" applyBorder="1" applyAlignment="1">
      <alignment horizontal="center" vertical="center"/>
    </xf>
    <xf numFmtId="0" fontId="11" fillId="0" borderId="1" xfId="0" applyFont="1" applyBorder="1" applyAlignment="1">
      <alignment horizontal="center" vertical="center"/>
    </xf>
    <xf numFmtId="0" fontId="17" fillId="0" borderId="1"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xf numFmtId="0" fontId="22" fillId="0" borderId="1" xfId="0" applyFont="1" applyBorder="1" applyAlignment="1">
      <alignment horizontal="center" vertical="center"/>
    </xf>
    <xf numFmtId="0" fontId="22" fillId="0" borderId="1" xfId="0" applyFont="1" applyBorder="1" applyAlignment="1">
      <alignment horizontal="left" vertical="top" wrapText="1"/>
    </xf>
    <xf numFmtId="0" fontId="21" fillId="0" borderId="1" xfId="0" applyFont="1" applyBorder="1"/>
    <xf numFmtId="0" fontId="16" fillId="0" borderId="1" xfId="0" applyFont="1" applyBorder="1" applyAlignment="1">
      <alignment horizontal="center" vertical="center"/>
    </xf>
    <xf numFmtId="0" fontId="21" fillId="0" borderId="1" xfId="0" applyFont="1" applyBorder="1" applyAlignment="1">
      <alignment wrapText="1"/>
    </xf>
    <xf numFmtId="0" fontId="16" fillId="0" borderId="1" xfId="0" applyFont="1" applyBorder="1" applyAlignment="1">
      <alignment horizontal="left" vertical="top" wrapText="1"/>
    </xf>
    <xf numFmtId="0" fontId="22" fillId="0" borderId="1" xfId="0" applyFont="1" applyBorder="1" applyAlignment="1">
      <alignment horizontal="center"/>
    </xf>
    <xf numFmtId="0" fontId="4" fillId="0" borderId="1" xfId="0" applyFont="1" applyBorder="1" applyAlignment="1">
      <alignment horizontal="center" vertical="top"/>
    </xf>
    <xf numFmtId="0" fontId="21" fillId="0" borderId="1" xfId="0" applyFont="1" applyBorder="1" applyAlignment="1">
      <alignment vertical="top"/>
    </xf>
    <xf numFmtId="0" fontId="21" fillId="0" borderId="1" xfId="0" applyFont="1" applyBorder="1" applyAlignment="1">
      <alignment vertical="center" wrapText="1"/>
    </xf>
    <xf numFmtId="0" fontId="11" fillId="0" borderId="1" xfId="0" applyFont="1" applyBorder="1" applyAlignment="1">
      <alignment vertical="center" wrapText="1"/>
    </xf>
    <xf numFmtId="0" fontId="5" fillId="6" borderId="1" xfId="0" applyFont="1" applyFill="1" applyBorder="1" applyAlignment="1">
      <alignment horizontal="center"/>
    </xf>
    <xf numFmtId="0" fontId="5" fillId="6" borderId="1" xfId="0" applyFont="1" applyFill="1" applyBorder="1" applyAlignment="1">
      <alignment horizontal="center" vertical="center"/>
    </xf>
    <xf numFmtId="0" fontId="21" fillId="0" borderId="1" xfId="0" applyFont="1" applyBorder="1" applyAlignment="1">
      <alignment horizontal="left" vertical="top" wrapText="1"/>
    </xf>
    <xf numFmtId="0" fontId="17" fillId="0" borderId="1" xfId="0" applyFont="1" applyBorder="1" applyAlignment="1">
      <alignment horizontal="left" vertical="top" wrapTex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7" fillId="0" borderId="0" xfId="0" applyFont="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9" fillId="2" borderId="2" xfId="0" applyFont="1" applyFill="1" applyBorder="1" applyAlignment="1" applyProtection="1">
      <alignment horizontal="left" vertical="center"/>
      <protection locked="0"/>
    </xf>
    <xf numFmtId="0" fontId="19" fillId="2" borderId="4" xfId="0" applyFont="1" applyFill="1" applyBorder="1" applyAlignment="1" applyProtection="1">
      <alignment horizontal="left" vertical="center"/>
      <protection locked="0"/>
    </xf>
    <xf numFmtId="0" fontId="19" fillId="2" borderId="3" xfId="0" applyFont="1" applyFill="1" applyBorder="1" applyAlignment="1" applyProtection="1">
      <alignment horizontal="left" vertical="center"/>
      <protection locked="0"/>
    </xf>
    <xf numFmtId="49" fontId="11" fillId="2" borderId="2" xfId="0" applyNumberFormat="1" applyFont="1" applyFill="1" applyBorder="1" applyAlignment="1" applyProtection="1">
      <alignment horizontal="center" vertical="center"/>
      <protection locked="0"/>
    </xf>
    <xf numFmtId="49" fontId="11" fillId="2" borderId="4" xfId="0" applyNumberFormat="1" applyFont="1" applyFill="1" applyBorder="1" applyAlignment="1" applyProtection="1">
      <alignment horizontal="center" vertical="center"/>
      <protection locked="0"/>
    </xf>
    <xf numFmtId="49" fontId="11" fillId="2" borderId="3" xfId="0" applyNumberFormat="1" applyFont="1" applyFill="1" applyBorder="1" applyAlignment="1" applyProtection="1">
      <alignment horizontal="center" vertical="center"/>
      <protection locked="0"/>
    </xf>
    <xf numFmtId="0" fontId="20" fillId="3"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4" xfId="0" applyFont="1" applyFill="1" applyBorder="1" applyAlignment="1">
      <alignment horizontal="center" vertical="center"/>
    </xf>
    <xf numFmtId="0" fontId="15" fillId="4" borderId="3" xfId="0" applyFont="1" applyFill="1" applyBorder="1" applyAlignment="1">
      <alignment horizontal="center" vertical="center"/>
    </xf>
    <xf numFmtId="0" fontId="19" fillId="2" borderId="2" xfId="0" applyFont="1" applyFill="1" applyBorder="1" applyAlignment="1" applyProtection="1">
      <alignment horizontal="left" vertical="center" wrapText="1"/>
      <protection locked="0"/>
    </xf>
    <xf numFmtId="0" fontId="19" fillId="2" borderId="4" xfId="0" applyFont="1" applyFill="1" applyBorder="1" applyAlignment="1" applyProtection="1">
      <alignment horizontal="left" vertical="center" wrapText="1"/>
      <protection locked="0"/>
    </xf>
    <xf numFmtId="0" fontId="19" fillId="2" borderId="3" xfId="0" applyFont="1" applyFill="1" applyBorder="1" applyAlignment="1" applyProtection="1">
      <alignment horizontal="left" vertical="center" wrapText="1"/>
      <protection locked="0"/>
    </xf>
    <xf numFmtId="0" fontId="27" fillId="0" borderId="0" xfId="0" applyFont="1" applyAlignment="1">
      <alignment horizontal="center" vertical="center"/>
    </xf>
    <xf numFmtId="0" fontId="25" fillId="0" borderId="0" xfId="0" applyFont="1" applyAlignment="1">
      <alignment horizontal="center" vertical="center"/>
    </xf>
    <xf numFmtId="0" fontId="11" fillId="0" borderId="6" xfId="0" applyFont="1" applyBorder="1" applyAlignment="1" applyProtection="1">
      <alignment horizontal="left" vertical="top" wrapText="1"/>
      <protection locked="0"/>
    </xf>
    <xf numFmtId="0" fontId="11" fillId="0" borderId="5" xfId="0" applyFont="1" applyBorder="1" applyAlignment="1" applyProtection="1">
      <alignment horizontal="left" vertical="top" wrapText="1"/>
      <protection locked="0"/>
    </xf>
    <xf numFmtId="0" fontId="11" fillId="0" borderId="7" xfId="0" applyFont="1" applyBorder="1" applyAlignment="1" applyProtection="1">
      <alignment horizontal="left" vertical="top" wrapText="1"/>
      <protection locked="0"/>
    </xf>
    <xf numFmtId="0" fontId="11" fillId="0" borderId="8" xfId="0" applyFont="1" applyBorder="1" applyAlignment="1" applyProtection="1">
      <alignment horizontal="left" vertical="top" wrapText="1"/>
      <protection locked="0"/>
    </xf>
    <xf numFmtId="0" fontId="11" fillId="0" borderId="0" xfId="0" applyFont="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11" xfId="0" applyFont="1" applyBorder="1" applyAlignment="1" applyProtection="1">
      <alignment horizontal="left" vertical="top" wrapText="1"/>
      <protection locked="0"/>
    </xf>
    <xf numFmtId="0" fontId="11" fillId="0" borderId="12" xfId="0" applyFont="1" applyBorder="1" applyAlignment="1" applyProtection="1">
      <alignment horizontal="left" vertical="top" wrapText="1"/>
      <protection locked="0"/>
    </xf>
    <xf numFmtId="164" fontId="11" fillId="2" borderId="2" xfId="0" applyNumberFormat="1" applyFont="1" applyFill="1" applyBorder="1" applyAlignment="1" applyProtection="1">
      <alignment horizontal="center" vertical="center"/>
      <protection locked="0"/>
    </xf>
    <xf numFmtId="164" fontId="11" fillId="2" borderId="4" xfId="0" applyNumberFormat="1" applyFont="1" applyFill="1" applyBorder="1" applyAlignment="1" applyProtection="1">
      <alignment horizontal="center" vertical="center"/>
      <protection locked="0"/>
    </xf>
    <xf numFmtId="164" fontId="11" fillId="2" borderId="3" xfId="0" applyNumberFormat="1" applyFont="1" applyFill="1" applyBorder="1" applyAlignment="1" applyProtection="1">
      <alignment horizontal="center" vertical="center"/>
      <protection locked="0"/>
    </xf>
  </cellXfs>
  <cellStyles count="1">
    <cellStyle name="Normal" xfId="0" builtinId="0"/>
  </cellStyles>
  <dxfs count="80">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FFFF00"/>
        </patternFill>
      </fill>
    </dxf>
    <dxf>
      <fill>
        <patternFill>
          <bgColor theme="6" tint="0.39994506668294322"/>
        </patternFill>
      </fill>
    </dxf>
    <dxf>
      <fill>
        <patternFill>
          <bgColor rgb="FF00B0F0"/>
        </patternFill>
      </fill>
    </dxf>
    <dxf>
      <fill>
        <patternFill>
          <bgColor theme="6" tint="0.39994506668294322"/>
        </patternFill>
      </fill>
    </dxf>
    <dxf>
      <fill>
        <patternFill>
          <bgColor rgb="FF00B0F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FFFF00"/>
        </patternFill>
      </fill>
    </dxf>
    <dxf>
      <fill>
        <patternFill>
          <bgColor theme="6" tint="0.39994506668294322"/>
        </patternFill>
      </fill>
    </dxf>
    <dxf>
      <fill>
        <patternFill>
          <bgColor theme="6" tint="0.39994506668294322"/>
        </patternFill>
      </fill>
    </dxf>
    <dxf>
      <fill>
        <patternFill>
          <bgColor rgb="FF00B0F0"/>
        </patternFill>
      </fill>
    </dxf>
    <dxf>
      <fill>
        <patternFill>
          <bgColor rgb="FFFF0000"/>
        </patternFill>
      </fill>
    </dxf>
    <dxf>
      <fill>
        <patternFill>
          <bgColor rgb="FFFFFF00"/>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theme="6" tint="0.39994506668294322"/>
        </patternFill>
      </fill>
    </dxf>
    <dxf>
      <fill>
        <patternFill>
          <bgColor rgb="FFFF0000"/>
        </patternFill>
      </fill>
    </dxf>
    <dxf>
      <fill>
        <patternFill>
          <bgColor rgb="FFFFFF00"/>
        </patternFill>
      </fill>
    </dxf>
    <dxf>
      <fill>
        <patternFill>
          <bgColor rgb="FF00B0F0"/>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theme="6" tint="0.39994506668294322"/>
        </patternFill>
      </fill>
    </dxf>
    <dxf>
      <fill>
        <patternFill>
          <bgColor rgb="FF00B0F0"/>
        </patternFill>
      </fill>
    </dxf>
    <dxf>
      <fill>
        <patternFill>
          <bgColor rgb="FFFF0000"/>
        </patternFill>
      </fill>
    </dxf>
    <dxf>
      <fill>
        <patternFill>
          <bgColor rgb="FFFFFF00"/>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theme="6" tint="0.39994506668294322"/>
        </patternFill>
      </fill>
    </dxf>
    <dxf>
      <fill>
        <patternFill>
          <bgColor rgb="FFFFFF00"/>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theme="6" tint="0.39994506668294322"/>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theme="6" tint="0.39994506668294322"/>
        </patternFill>
      </fill>
    </dxf>
    <dxf>
      <fill>
        <patternFill>
          <bgColor rgb="FFFF0000"/>
        </patternFill>
      </fill>
    </dxf>
    <dxf>
      <fill>
        <patternFill>
          <bgColor rgb="FFFFFF00"/>
        </patternFill>
      </fill>
    </dxf>
    <dxf>
      <fill>
        <patternFill>
          <bgColor rgb="FF00B0F0"/>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theme="6" tint="0.39994506668294322"/>
        </patternFill>
      </fill>
    </dxf>
    <dxf>
      <fill>
        <patternFill>
          <bgColor theme="6" tint="0.39994506668294322"/>
        </patternFill>
      </fill>
    </dxf>
    <dxf>
      <fill>
        <patternFill>
          <bgColor rgb="FF00B0F0"/>
        </patternFill>
      </fill>
    </dxf>
    <dxf>
      <fill>
        <patternFill>
          <bgColor rgb="FFFF0000"/>
        </patternFill>
      </fill>
    </dxf>
    <dxf>
      <fill>
        <patternFill>
          <bgColor rgb="FFFFFF00"/>
        </patternFill>
      </fill>
    </dxf>
    <dxf>
      <fill>
        <patternFill>
          <bgColor theme="6" tint="0.39994506668294322"/>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00B0F0"/>
        </patternFill>
      </fill>
    </dxf>
    <dxf>
      <fill>
        <patternFill>
          <bgColor theme="6" tint="0.39994506668294322"/>
        </patternFill>
      </fill>
    </dxf>
    <dxf>
      <fill>
        <patternFill>
          <bgColor rgb="FFFF7C80"/>
        </patternFill>
      </fill>
    </dxf>
    <dxf>
      <fill>
        <patternFill>
          <bgColor rgb="FFFFC000"/>
        </patternFill>
      </fill>
    </dxf>
    <dxf>
      <fill>
        <patternFill>
          <bgColor rgb="FFFF7C80"/>
        </patternFill>
      </fill>
    </dxf>
    <dxf>
      <fill>
        <patternFill>
          <bgColor rgb="FFFFC000"/>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EC59-278D-4FE0-A523-ED66C78A1A9C}">
  <sheetPr codeName="Sheet1">
    <pageSetUpPr fitToPage="1"/>
  </sheetPr>
  <dimension ref="A2:F55"/>
  <sheetViews>
    <sheetView zoomScale="90" zoomScaleNormal="90" workbookViewId="0">
      <selection activeCell="E32" sqref="E32"/>
    </sheetView>
  </sheetViews>
  <sheetFormatPr defaultRowHeight="14.5"/>
  <cols>
    <col min="2" max="2" width="69.81640625" bestFit="1" customWidth="1"/>
    <col min="3" max="3" width="141.81640625" customWidth="1"/>
    <col min="4" max="7" width="8.81640625"/>
  </cols>
  <sheetData>
    <row r="2" spans="1:6" ht="18">
      <c r="A2" s="47" t="s">
        <v>0</v>
      </c>
      <c r="B2" s="48"/>
      <c r="C2" s="48"/>
    </row>
    <row r="3" spans="1:6" ht="18" customHeight="1">
      <c r="A3" s="29">
        <v>1</v>
      </c>
      <c r="B3" s="45" t="s">
        <v>1</v>
      </c>
      <c r="C3" s="45"/>
    </row>
    <row r="4" spans="1:6" ht="96.65" customHeight="1">
      <c r="A4" s="30">
        <v>2</v>
      </c>
      <c r="B4" s="45" t="s">
        <v>2</v>
      </c>
      <c r="C4" s="45"/>
    </row>
    <row r="5" spans="1:6" ht="48" customHeight="1">
      <c r="A5" s="29">
        <v>3</v>
      </c>
      <c r="B5" s="46" t="s">
        <v>3</v>
      </c>
      <c r="C5" s="46"/>
      <c r="D5" s="24"/>
    </row>
    <row r="6" spans="1:6" ht="15.5">
      <c r="A6" s="31"/>
      <c r="B6" s="31"/>
      <c r="C6" s="31"/>
    </row>
    <row r="7" spans="1:6" ht="18">
      <c r="A7" s="47" t="s">
        <v>4</v>
      </c>
      <c r="B7" s="48" t="s">
        <v>5</v>
      </c>
      <c r="C7" s="48"/>
    </row>
    <row r="8" spans="1:6" ht="30.65" customHeight="1">
      <c r="A8" s="49" t="s">
        <v>6</v>
      </c>
      <c r="B8" s="50"/>
      <c r="C8" s="50"/>
      <c r="D8" s="51"/>
      <c r="E8" s="51"/>
      <c r="F8" s="51"/>
    </row>
    <row r="9" spans="1:6" ht="15.5">
      <c r="A9" s="32">
        <v>1</v>
      </c>
      <c r="B9" s="33" t="s">
        <v>7</v>
      </c>
      <c r="C9" s="34" t="s">
        <v>8</v>
      </c>
    </row>
    <row r="10" spans="1:6" ht="46.5">
      <c r="A10" s="35">
        <v>2</v>
      </c>
      <c r="B10" s="33" t="s">
        <v>9</v>
      </c>
      <c r="C10" s="36" t="s">
        <v>10</v>
      </c>
    </row>
    <row r="11" spans="1:6" ht="15.5">
      <c r="A11" s="35">
        <v>3</v>
      </c>
      <c r="B11" s="33" t="s">
        <v>11</v>
      </c>
      <c r="C11" s="34" t="s">
        <v>12</v>
      </c>
    </row>
    <row r="12" spans="1:6" ht="15.5">
      <c r="A12" s="35">
        <v>4</v>
      </c>
      <c r="B12" s="33" t="s">
        <v>13</v>
      </c>
      <c r="C12" s="34" t="s">
        <v>14</v>
      </c>
    </row>
    <row r="13" spans="1:6" ht="15.5">
      <c r="A13" s="32">
        <v>5</v>
      </c>
      <c r="B13" s="33" t="s">
        <v>15</v>
      </c>
      <c r="C13" s="36" t="s">
        <v>16</v>
      </c>
    </row>
    <row r="14" spans="1:6" ht="31">
      <c r="A14" s="35">
        <v>6</v>
      </c>
      <c r="B14" s="33" t="s">
        <v>17</v>
      </c>
      <c r="C14" s="36" t="s">
        <v>18</v>
      </c>
    </row>
    <row r="15" spans="1:6" ht="34" customHeight="1">
      <c r="A15" s="49" t="s">
        <v>19</v>
      </c>
      <c r="B15" s="50"/>
      <c r="C15" s="50"/>
      <c r="D15" s="51"/>
      <c r="E15" s="51"/>
      <c r="F15" s="51"/>
    </row>
    <row r="16" spans="1:6" ht="15.5">
      <c r="A16" s="32">
        <v>7</v>
      </c>
      <c r="B16" s="33" t="s">
        <v>20</v>
      </c>
      <c r="C16" s="34" t="s">
        <v>21</v>
      </c>
    </row>
    <row r="17" spans="1:6" ht="15.5">
      <c r="A17" s="35">
        <v>8</v>
      </c>
      <c r="B17" s="33" t="s">
        <v>22</v>
      </c>
      <c r="C17" s="34" t="s">
        <v>23</v>
      </c>
    </row>
    <row r="18" spans="1:6" ht="15.5">
      <c r="A18" s="35">
        <v>9</v>
      </c>
      <c r="B18" s="33" t="s">
        <v>24</v>
      </c>
      <c r="C18" s="34" t="s">
        <v>25</v>
      </c>
    </row>
    <row r="19" spans="1:6" ht="15.5">
      <c r="A19" s="35">
        <v>10</v>
      </c>
      <c r="B19" s="33" t="s">
        <v>26</v>
      </c>
      <c r="C19" s="34" t="s">
        <v>27</v>
      </c>
    </row>
    <row r="20" spans="1:6" ht="15.5">
      <c r="A20" s="32">
        <v>11</v>
      </c>
      <c r="B20" s="33" t="s">
        <v>28</v>
      </c>
      <c r="C20" s="34" t="s">
        <v>29</v>
      </c>
    </row>
    <row r="21" spans="1:6" ht="15.5">
      <c r="A21" s="35">
        <v>12</v>
      </c>
      <c r="B21" s="33" t="s">
        <v>30</v>
      </c>
      <c r="C21" s="34" t="s">
        <v>31</v>
      </c>
    </row>
    <row r="22" spans="1:6" ht="34" customHeight="1">
      <c r="A22" s="49" t="s">
        <v>32</v>
      </c>
      <c r="B22" s="50"/>
      <c r="C22" s="50"/>
      <c r="D22" s="51"/>
      <c r="E22" s="51"/>
      <c r="F22" s="51"/>
    </row>
    <row r="23" spans="1:6" ht="15.5">
      <c r="A23" s="32">
        <v>13</v>
      </c>
      <c r="B23" s="33" t="s">
        <v>33</v>
      </c>
      <c r="C23" s="34" t="s">
        <v>34</v>
      </c>
    </row>
    <row r="24" spans="1:6" ht="31">
      <c r="A24" s="35">
        <v>14</v>
      </c>
      <c r="B24" s="33" t="s">
        <v>35</v>
      </c>
      <c r="C24" s="41" t="s">
        <v>36</v>
      </c>
    </row>
    <row r="25" spans="1:6" ht="15.5">
      <c r="A25" s="35">
        <v>15</v>
      </c>
      <c r="B25" s="37" t="s">
        <v>37</v>
      </c>
      <c r="C25" s="41" t="s">
        <v>38</v>
      </c>
    </row>
    <row r="26" spans="1:6" ht="31">
      <c r="A26" s="35">
        <v>16</v>
      </c>
      <c r="B26" s="37" t="s">
        <v>39</v>
      </c>
      <c r="C26" s="41" t="s">
        <v>40</v>
      </c>
    </row>
    <row r="27" spans="1:6" ht="31">
      <c r="A27" s="32">
        <v>17</v>
      </c>
      <c r="B27" s="33" t="s">
        <v>41</v>
      </c>
      <c r="C27" s="41" t="s">
        <v>42</v>
      </c>
    </row>
    <row r="28" spans="1:6" ht="15.5">
      <c r="A28" s="35">
        <v>18</v>
      </c>
      <c r="B28" s="33" t="s">
        <v>43</v>
      </c>
      <c r="C28" s="41" t="s">
        <v>44</v>
      </c>
    </row>
    <row r="29" spans="1:6" ht="31">
      <c r="A29" s="32">
        <v>19</v>
      </c>
      <c r="B29" s="33" t="s">
        <v>45</v>
      </c>
      <c r="C29" s="41" t="s">
        <v>46</v>
      </c>
    </row>
    <row r="30" spans="1:6" ht="31">
      <c r="A30" s="35">
        <v>20</v>
      </c>
      <c r="B30" s="33" t="s">
        <v>47</v>
      </c>
      <c r="C30" s="41" t="s">
        <v>48</v>
      </c>
    </row>
    <row r="31" spans="1:6" ht="15.5">
      <c r="A31" s="35">
        <v>21</v>
      </c>
      <c r="B31" s="33" t="s">
        <v>49</v>
      </c>
      <c r="C31" s="41" t="s">
        <v>50</v>
      </c>
    </row>
    <row r="32" spans="1:6" ht="31">
      <c r="A32" s="35">
        <v>22</v>
      </c>
      <c r="B32" s="33" t="s">
        <v>51</v>
      </c>
      <c r="C32" s="41" t="s">
        <v>52</v>
      </c>
    </row>
    <row r="33" spans="1:6" ht="31">
      <c r="A33" s="32">
        <v>23</v>
      </c>
      <c r="B33" s="37" t="s">
        <v>53</v>
      </c>
      <c r="C33" s="41" t="s">
        <v>54</v>
      </c>
    </row>
    <row r="34" spans="1:6" ht="31">
      <c r="A34" s="32">
        <v>24</v>
      </c>
      <c r="B34" s="33" t="s">
        <v>55</v>
      </c>
      <c r="C34" s="41" t="s">
        <v>56</v>
      </c>
    </row>
    <row r="35" spans="1:6" ht="15.5">
      <c r="A35" s="35">
        <v>25</v>
      </c>
      <c r="B35" s="33" t="s">
        <v>57</v>
      </c>
      <c r="C35" s="34" t="s">
        <v>58</v>
      </c>
    </row>
    <row r="36" spans="1:6" ht="43.4" customHeight="1">
      <c r="A36" s="52" t="s">
        <v>59</v>
      </c>
      <c r="B36" s="53"/>
      <c r="C36" s="53"/>
    </row>
    <row r="37" spans="1:6" ht="31">
      <c r="A37" s="32">
        <v>26</v>
      </c>
      <c r="B37" s="33" t="s">
        <v>60</v>
      </c>
      <c r="C37" s="36" t="s">
        <v>61</v>
      </c>
    </row>
    <row r="38" spans="1:6" ht="15.5">
      <c r="A38" s="35">
        <v>27</v>
      </c>
      <c r="B38" s="33" t="s">
        <v>62</v>
      </c>
      <c r="C38" s="34" t="s">
        <v>63</v>
      </c>
    </row>
    <row r="39" spans="1:6" ht="15.5">
      <c r="A39" s="35">
        <v>28</v>
      </c>
      <c r="B39" s="33" t="s">
        <v>64</v>
      </c>
      <c r="C39" s="34" t="s">
        <v>65</v>
      </c>
    </row>
    <row r="40" spans="1:6" ht="15.5">
      <c r="A40" s="35">
        <v>29</v>
      </c>
      <c r="B40" s="33" t="s">
        <v>66</v>
      </c>
      <c r="C40" s="34" t="s">
        <v>67</v>
      </c>
    </row>
    <row r="41" spans="1:6" ht="15.5">
      <c r="A41" s="35">
        <v>30</v>
      </c>
      <c r="B41" s="33" t="s">
        <v>68</v>
      </c>
      <c r="C41" s="40" t="s">
        <v>69</v>
      </c>
    </row>
    <row r="42" spans="1:6" ht="29.5" customHeight="1">
      <c r="A42" s="49" t="s">
        <v>70</v>
      </c>
      <c r="B42" s="50"/>
      <c r="C42" s="50"/>
      <c r="D42" s="51"/>
      <c r="E42" s="51"/>
      <c r="F42" s="51"/>
    </row>
    <row r="43" spans="1:6" ht="15.5">
      <c r="A43" s="32">
        <v>31</v>
      </c>
      <c r="B43" s="33" t="s">
        <v>20</v>
      </c>
      <c r="C43" s="34" t="s">
        <v>71</v>
      </c>
    </row>
    <row r="44" spans="1:6" ht="15.5">
      <c r="A44" s="35">
        <v>32</v>
      </c>
      <c r="B44" s="33" t="s">
        <v>22</v>
      </c>
      <c r="C44" s="34" t="s">
        <v>72</v>
      </c>
    </row>
    <row r="45" spans="1:6" ht="15.5">
      <c r="A45" s="35">
        <v>33</v>
      </c>
      <c r="B45" s="33" t="s">
        <v>73</v>
      </c>
      <c r="C45" s="34" t="s">
        <v>74</v>
      </c>
    </row>
    <row r="46" spans="1:6" ht="15.5">
      <c r="A46" s="35">
        <v>34</v>
      </c>
      <c r="B46" s="33" t="s">
        <v>75</v>
      </c>
      <c r="C46" s="34" t="s">
        <v>76</v>
      </c>
    </row>
    <row r="47" spans="1:6" ht="15.5">
      <c r="A47" s="32">
        <v>35</v>
      </c>
      <c r="B47" s="33" t="s">
        <v>77</v>
      </c>
      <c r="C47" s="34" t="s">
        <v>78</v>
      </c>
      <c r="D47" s="51"/>
      <c r="E47" s="51"/>
      <c r="F47" s="51"/>
    </row>
    <row r="48" spans="1:6" ht="15.5">
      <c r="A48" s="49" t="s">
        <v>79</v>
      </c>
      <c r="B48" s="50"/>
      <c r="C48" s="50"/>
    </row>
    <row r="49" spans="1:6" ht="15.5">
      <c r="A49" s="35">
        <v>36</v>
      </c>
      <c r="B49" s="33" t="s">
        <v>80</v>
      </c>
      <c r="C49" s="34" t="s">
        <v>81</v>
      </c>
    </row>
    <row r="50" spans="1:6" ht="15.5">
      <c r="A50" s="32">
        <v>37</v>
      </c>
      <c r="B50" s="33" t="s">
        <v>82</v>
      </c>
      <c r="C50" s="34" t="s">
        <v>83</v>
      </c>
    </row>
    <row r="51" spans="1:6" ht="15.5">
      <c r="A51" s="35">
        <v>38</v>
      </c>
      <c r="B51" s="33" t="s">
        <v>84</v>
      </c>
      <c r="C51" s="34" t="s">
        <v>85</v>
      </c>
    </row>
    <row r="52" spans="1:6" ht="15.5">
      <c r="A52" s="35">
        <v>39</v>
      </c>
      <c r="B52" s="33" t="s">
        <v>86</v>
      </c>
      <c r="C52" s="34" t="s">
        <v>87</v>
      </c>
    </row>
    <row r="53" spans="1:6" ht="15.5">
      <c r="A53" s="35">
        <v>40</v>
      </c>
      <c r="B53" s="33" t="s">
        <v>88</v>
      </c>
      <c r="C53" s="34" t="s">
        <v>89</v>
      </c>
      <c r="D53" s="51"/>
      <c r="E53" s="51"/>
      <c r="F53" s="51"/>
    </row>
    <row r="54" spans="1:6" ht="15.5">
      <c r="A54" s="50" t="s">
        <v>90</v>
      </c>
      <c r="B54" s="50"/>
      <c r="C54" s="50"/>
    </row>
    <row r="55" spans="1:6" ht="15.5">
      <c r="A55" s="38">
        <v>41</v>
      </c>
      <c r="B55" s="34"/>
      <c r="C55" s="34" t="s">
        <v>91</v>
      </c>
    </row>
  </sheetData>
  <sheetProtection algorithmName="SHA-512" hashValue="Cix4rvHre82DG55m5I1fQvjVVaRsVFu9OfG3PrembYsi5gWpdFcgqvK5aTP60rXy256L4RSbbPYR9O30hUmtcg==" saltValue="RyS5hdvfmScnqDr7quXfUA==" spinCount="100000" sheet="1" objects="1" scenarios="1"/>
  <mergeCells count="18">
    <mergeCell ref="A8:C8"/>
    <mergeCell ref="D8:F8"/>
    <mergeCell ref="A15:C15"/>
    <mergeCell ref="D15:F15"/>
    <mergeCell ref="A54:C54"/>
    <mergeCell ref="D53:F53"/>
    <mergeCell ref="A36:C36"/>
    <mergeCell ref="A22:C22"/>
    <mergeCell ref="D22:F22"/>
    <mergeCell ref="A42:C42"/>
    <mergeCell ref="D42:F42"/>
    <mergeCell ref="A48:C48"/>
    <mergeCell ref="D47:F47"/>
    <mergeCell ref="B4:C4"/>
    <mergeCell ref="B5:C5"/>
    <mergeCell ref="B3:C3"/>
    <mergeCell ref="A2:C2"/>
    <mergeCell ref="A7:C7"/>
  </mergeCells>
  <pageMargins left="0.7" right="0.7" top="0.75" bottom="0.75" header="0.3" footer="0.3"/>
  <pageSetup scale="3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2BA2-A8BD-490E-A9B9-65B20F0FF730}">
  <sheetPr codeName="Sheet2">
    <pageSetUpPr fitToPage="1"/>
  </sheetPr>
  <dimension ref="B1:O60"/>
  <sheetViews>
    <sheetView tabSelected="1" zoomScale="80" zoomScaleNormal="80" workbookViewId="0">
      <pane ySplit="2" topLeftCell="A3" activePane="bottomLeft" state="frozen"/>
      <selection pane="bottomLeft" activeCell="D25" sqref="D25:F25"/>
    </sheetView>
  </sheetViews>
  <sheetFormatPr defaultColWidth="9.1796875" defaultRowHeight="20"/>
  <cols>
    <col min="1" max="1" width="3" style="1" customWidth="1"/>
    <col min="2" max="2" width="90" style="20" customWidth="1"/>
    <col min="3" max="3" width="45.453125" style="20" bestFit="1" customWidth="1"/>
    <col min="4" max="4" width="27.453125" style="11" bestFit="1" customWidth="1"/>
    <col min="5" max="5" width="15.81640625" style="11" bestFit="1" customWidth="1"/>
    <col min="6" max="6" width="75" style="11" customWidth="1"/>
    <col min="7" max="7" width="31.1796875" style="15" bestFit="1" customWidth="1"/>
    <col min="16" max="16384" width="9.1796875" style="1"/>
  </cols>
  <sheetData>
    <row r="1" spans="2:7" ht="9" customHeight="1"/>
    <row r="2" spans="2:7" ht="50.5" customHeight="1">
      <c r="B2" s="63" t="s">
        <v>92</v>
      </c>
      <c r="C2" s="63"/>
      <c r="D2" s="63"/>
      <c r="E2" s="63"/>
      <c r="F2" s="63"/>
      <c r="G2" s="63"/>
    </row>
    <row r="3" spans="2:7" s="14" customFormat="1" ht="35.15" customHeight="1">
      <c r="B3" s="64" t="s">
        <v>93</v>
      </c>
      <c r="C3" s="65"/>
      <c r="D3" s="65"/>
      <c r="E3" s="65"/>
      <c r="F3" s="65"/>
      <c r="G3" s="66"/>
    </row>
    <row r="4" spans="2:7" s="14" customFormat="1" ht="30" customHeight="1">
      <c r="B4" s="16" t="s">
        <v>7</v>
      </c>
      <c r="C4" s="67" t="s">
        <v>94</v>
      </c>
      <c r="D4" s="68"/>
      <c r="E4" s="68"/>
      <c r="F4" s="69"/>
      <c r="G4" s="28" t="s">
        <v>127</v>
      </c>
    </row>
    <row r="5" spans="2:7" ht="30" customHeight="1">
      <c r="B5" s="16" t="s">
        <v>9</v>
      </c>
      <c r="C5" s="57" t="s">
        <v>94</v>
      </c>
      <c r="D5" s="58"/>
      <c r="E5" s="58"/>
      <c r="F5" s="59"/>
      <c r="G5" s="28" t="s">
        <v>127</v>
      </c>
    </row>
    <row r="6" spans="2:7" ht="35.15" customHeight="1">
      <c r="B6" s="16" t="s">
        <v>11</v>
      </c>
      <c r="C6" s="54"/>
      <c r="D6" s="55"/>
      <c r="E6" s="55"/>
      <c r="F6" s="56"/>
      <c r="G6" s="27" t="str">
        <f>IF((OR(C4="NEW ",C4="EXISTING ")),"Mandatory","N/A")</f>
        <v>N/A</v>
      </c>
    </row>
    <row r="7" spans="2:7" ht="35.15" customHeight="1">
      <c r="B7" s="16" t="s">
        <v>13</v>
      </c>
      <c r="C7" s="54"/>
      <c r="D7" s="55"/>
      <c r="E7" s="55"/>
      <c r="F7" s="56"/>
      <c r="G7" s="27" t="str">
        <f>IF((OR(C4="NEW ",C4="EXISTING ")),"Mandatory","N/A")</f>
        <v>N/A</v>
      </c>
    </row>
    <row r="8" spans="2:7" ht="30" customHeight="1">
      <c r="B8" s="16" t="s">
        <v>15</v>
      </c>
      <c r="C8" s="60"/>
      <c r="D8" s="61"/>
      <c r="E8" s="61"/>
      <c r="F8" s="62"/>
      <c r="G8" s="27" t="str">
        <f>IF((OR(C4="NEW ",C4="EXISTING ")),"Mandatory","N/A")</f>
        <v>N/A</v>
      </c>
    </row>
    <row r="9" spans="2:7" ht="35.15" customHeight="1">
      <c r="B9" s="16" t="s">
        <v>17</v>
      </c>
      <c r="C9" s="54"/>
      <c r="D9" s="55"/>
      <c r="E9" s="55"/>
      <c r="F9" s="56"/>
      <c r="G9" s="27" t="str">
        <f>IF((OR(C4="NEW ",C4="EXISTING ")),"Mandatory","N/A")</f>
        <v>N/A</v>
      </c>
    </row>
    <row r="10" spans="2:7" s="14" customFormat="1" ht="35.15" customHeight="1">
      <c r="B10" s="64" t="s">
        <v>96</v>
      </c>
      <c r="C10" s="65"/>
      <c r="D10" s="65"/>
      <c r="E10" s="65"/>
      <c r="F10" s="65"/>
      <c r="G10" s="66"/>
    </row>
    <row r="11" spans="2:7" ht="35.15" customHeight="1">
      <c r="B11" s="17" t="s">
        <v>20</v>
      </c>
      <c r="C11" s="54"/>
      <c r="D11" s="55"/>
      <c r="E11" s="55"/>
      <c r="F11" s="56"/>
      <c r="G11" s="27" t="str">
        <f>IF((OR(C4="NEW ",C4="EXISTING ")),"Mandatory","N/A")</f>
        <v>N/A</v>
      </c>
    </row>
    <row r="12" spans="2:7" ht="35.15" customHeight="1">
      <c r="B12" s="17" t="s">
        <v>22</v>
      </c>
      <c r="C12" s="54"/>
      <c r="D12" s="55"/>
      <c r="E12" s="55"/>
      <c r="F12" s="56"/>
      <c r="G12" s="27" t="str">
        <f>IF((OR(C4="NEW ",C4="EXISTING ")),"Mandatory","N/A")</f>
        <v>N/A</v>
      </c>
    </row>
    <row r="13" spans="2:7" ht="35.15" customHeight="1">
      <c r="B13" s="17" t="s">
        <v>24</v>
      </c>
      <c r="C13" s="54"/>
      <c r="D13" s="55"/>
      <c r="E13" s="55"/>
      <c r="F13" s="56"/>
      <c r="G13" s="27" t="str">
        <f>IF((OR(C4="NEW ",C4="EXISTING ")),"Mandatory","N/A")</f>
        <v>N/A</v>
      </c>
    </row>
    <row r="14" spans="2:7" ht="30" customHeight="1">
      <c r="B14" s="17" t="s">
        <v>26</v>
      </c>
      <c r="C14" s="60"/>
      <c r="D14" s="61"/>
      <c r="E14" s="61"/>
      <c r="F14" s="62"/>
      <c r="G14" s="27" t="str">
        <f>IF((OR(C4="NEW ",C4="EXISTING ")),"Mandatory","N/A")</f>
        <v>N/A</v>
      </c>
    </row>
    <row r="15" spans="2:7" s="10" customFormat="1" ht="30" customHeight="1">
      <c r="B15" s="17" t="s">
        <v>28</v>
      </c>
      <c r="C15" s="57" t="s">
        <v>97</v>
      </c>
      <c r="D15" s="58"/>
      <c r="E15" s="58"/>
      <c r="F15" s="59"/>
      <c r="G15" s="27" t="str">
        <f>IF((OR(C4="NEW ",C4="EXISTING ")),"Mandatory","N/A")</f>
        <v>N/A</v>
      </c>
    </row>
    <row r="16" spans="2:7" ht="30" customHeight="1">
      <c r="B16" s="16" t="s">
        <v>30</v>
      </c>
      <c r="C16" s="54"/>
      <c r="D16" s="55"/>
      <c r="E16" s="55"/>
      <c r="F16" s="56"/>
      <c r="G16" s="27" t="str">
        <f>IF((OR(C4="NEW ",C4="EXISTING ")),"Mandatory","N/A")</f>
        <v>N/A</v>
      </c>
    </row>
    <row r="17" spans="2:7" s="14" customFormat="1" ht="35.15" customHeight="1">
      <c r="B17" s="64" t="s">
        <v>98</v>
      </c>
      <c r="C17" s="65"/>
      <c r="D17" s="65"/>
      <c r="E17" s="65"/>
      <c r="F17" s="65"/>
      <c r="G17" s="66"/>
    </row>
    <row r="18" spans="2:7" ht="30" customHeight="1">
      <c r="B18" s="17" t="s">
        <v>33</v>
      </c>
      <c r="C18" s="26" t="s">
        <v>99</v>
      </c>
      <c r="D18" s="60"/>
      <c r="E18" s="61"/>
      <c r="F18" s="61"/>
      <c r="G18" s="27" t="str">
        <f>IF((AND(C5="ACH",C15="USA")),"Mandatory","N/A")</f>
        <v>N/A</v>
      </c>
    </row>
    <row r="19" spans="2:7" ht="30" customHeight="1">
      <c r="B19" s="17" t="s">
        <v>35</v>
      </c>
      <c r="C19" s="25" t="s">
        <v>99</v>
      </c>
      <c r="D19" s="60"/>
      <c r="E19" s="61"/>
      <c r="F19" s="61"/>
      <c r="G19" s="27" t="str">
        <f>IF((AND(C5="WIRE / ELECTRONIC BANK TRANSFER",C15="USA")),"Mandatory","N/A")</f>
        <v>N/A</v>
      </c>
    </row>
    <row r="20" spans="2:7" ht="30" customHeight="1">
      <c r="B20" s="18" t="s">
        <v>37</v>
      </c>
      <c r="C20" s="25" t="s">
        <v>100</v>
      </c>
      <c r="D20" s="60"/>
      <c r="E20" s="61"/>
      <c r="F20" s="61"/>
      <c r="G20" s="27" t="str">
        <f>IF(C5="WIRE / ELECTRONIC BANK TRANSFER","Mandatory","N/A")</f>
        <v>N/A</v>
      </c>
    </row>
    <row r="21" spans="2:7" ht="30" customHeight="1">
      <c r="B21" s="19" t="s">
        <v>101</v>
      </c>
      <c r="C21" s="25" t="s">
        <v>102</v>
      </c>
      <c r="D21" s="60"/>
      <c r="E21" s="61"/>
      <c r="F21" s="61"/>
      <c r="G21" s="27" t="str">
        <f>VLOOKUP(C$15,'Drop Down 1'!A:K,2,0)</f>
        <v>N/A</v>
      </c>
    </row>
    <row r="22" spans="2:7" ht="30" customHeight="1">
      <c r="B22" s="19" t="s">
        <v>41</v>
      </c>
      <c r="C22" s="25" t="s">
        <v>103</v>
      </c>
      <c r="D22" s="60"/>
      <c r="E22" s="61"/>
      <c r="F22" s="61"/>
      <c r="G22" s="27" t="str">
        <f>VLOOKUP(C$15,'Drop Down 1'!A:K,3,0)</f>
        <v>N/A</v>
      </c>
    </row>
    <row r="23" spans="2:7" ht="30" customHeight="1">
      <c r="B23" s="17" t="s">
        <v>43</v>
      </c>
      <c r="C23" s="25" t="s">
        <v>104</v>
      </c>
      <c r="D23" s="60"/>
      <c r="E23" s="61"/>
      <c r="F23" s="61"/>
      <c r="G23" s="27" t="str">
        <f>VLOOKUP(C$15,'Drop Down 1'!A:K,4,0)</f>
        <v>N/A</v>
      </c>
    </row>
    <row r="24" spans="2:7" ht="40">
      <c r="B24" s="42" t="s">
        <v>105</v>
      </c>
      <c r="C24" s="25" t="s">
        <v>106</v>
      </c>
      <c r="D24" s="60"/>
      <c r="E24" s="61"/>
      <c r="F24" s="61"/>
      <c r="G24" s="27" t="str">
        <f>VLOOKUP(C$15,'Drop Down 1'!A:K,5,0)</f>
        <v>N/A</v>
      </c>
    </row>
    <row r="25" spans="2:7" ht="30" customHeight="1">
      <c r="B25" s="17" t="s">
        <v>47</v>
      </c>
      <c r="C25" s="25" t="s">
        <v>107</v>
      </c>
      <c r="D25" s="60"/>
      <c r="E25" s="61"/>
      <c r="F25" s="61"/>
      <c r="G25" s="27" t="str">
        <f>VLOOKUP(C$15,'Drop Down 1'!A:K,6,0)</f>
        <v>N/A</v>
      </c>
    </row>
    <row r="26" spans="2:7" ht="30" customHeight="1">
      <c r="B26" s="17" t="s">
        <v>49</v>
      </c>
      <c r="C26" s="25" t="s">
        <v>108</v>
      </c>
      <c r="D26" s="60"/>
      <c r="E26" s="61"/>
      <c r="F26" s="62"/>
      <c r="G26" s="27" t="str">
        <f>VLOOKUP(C$15,'Drop Down 1'!A:K,7,0)</f>
        <v>N/A</v>
      </c>
    </row>
    <row r="27" spans="2:7" ht="30" customHeight="1">
      <c r="B27" s="17" t="s">
        <v>109</v>
      </c>
      <c r="C27" s="25" t="s">
        <v>110</v>
      </c>
      <c r="D27" s="60"/>
      <c r="E27" s="61"/>
      <c r="F27" s="61"/>
      <c r="G27" s="27" t="str">
        <f>VLOOKUP(C$15,'Drop Down 1'!A:K,8,0)</f>
        <v>N/A</v>
      </c>
    </row>
    <row r="28" spans="2:7" ht="30" customHeight="1">
      <c r="B28" s="17" t="s">
        <v>111</v>
      </c>
      <c r="C28" s="25" t="s">
        <v>112</v>
      </c>
      <c r="D28" s="60"/>
      <c r="E28" s="61"/>
      <c r="F28" s="61"/>
      <c r="G28" s="27" t="str">
        <f>VLOOKUP(C$15,'Drop Down 1'!A:K,9,0)</f>
        <v>N/A</v>
      </c>
    </row>
    <row r="29" spans="2:7" ht="30" customHeight="1">
      <c r="B29" s="17" t="s">
        <v>55</v>
      </c>
      <c r="C29" s="25" t="s">
        <v>113</v>
      </c>
      <c r="D29" s="60"/>
      <c r="E29" s="61"/>
      <c r="F29" s="61"/>
      <c r="G29" s="27" t="str">
        <f>VLOOKUP(C$15,'Drop Down 1'!A:K,10,0)</f>
        <v>N/A</v>
      </c>
    </row>
    <row r="30" spans="2:7" ht="30" customHeight="1">
      <c r="B30" s="17" t="s">
        <v>57</v>
      </c>
      <c r="C30" s="60"/>
      <c r="D30" s="61"/>
      <c r="E30" s="61"/>
      <c r="F30" s="62"/>
      <c r="G30" s="27" t="str">
        <f>VLOOKUP(C$15,'Drop Down 1'!A:K,11,0)</f>
        <v>N/A</v>
      </c>
    </row>
    <row r="31" spans="2:7" s="14" customFormat="1" ht="35.15" customHeight="1">
      <c r="B31" s="64" t="s">
        <v>114</v>
      </c>
      <c r="C31" s="65"/>
      <c r="D31" s="65"/>
      <c r="E31" s="65"/>
      <c r="F31" s="65"/>
      <c r="G31" s="66"/>
    </row>
    <row r="32" spans="2:7" ht="35.15" customHeight="1">
      <c r="B32" s="17" t="s">
        <v>60</v>
      </c>
      <c r="C32" s="57" t="s">
        <v>94</v>
      </c>
      <c r="D32" s="58"/>
      <c r="E32" s="58"/>
      <c r="F32" s="59"/>
      <c r="G32" s="28" t="s">
        <v>95</v>
      </c>
    </row>
    <row r="33" spans="2:7" ht="35.15" customHeight="1">
      <c r="B33" s="17" t="s">
        <v>62</v>
      </c>
      <c r="C33" s="54"/>
      <c r="D33" s="55"/>
      <c r="E33" s="55"/>
      <c r="F33" s="56"/>
      <c r="G33" s="27" t="str">
        <f>IF(C32="YES ","Mandatory","N/A")</f>
        <v>N/A</v>
      </c>
    </row>
    <row r="34" spans="2:7" ht="30" customHeight="1">
      <c r="B34" s="17" t="s">
        <v>64</v>
      </c>
      <c r="C34" s="57" t="s">
        <v>97</v>
      </c>
      <c r="D34" s="58"/>
      <c r="E34" s="58"/>
      <c r="F34" s="59"/>
      <c r="G34" s="27" t="str">
        <f>IF(C32="YES ","Mandatory","N/A")</f>
        <v>N/A</v>
      </c>
    </row>
    <row r="35" spans="2:7" ht="30" customHeight="1">
      <c r="B35" s="17" t="s">
        <v>66</v>
      </c>
      <c r="C35" s="60"/>
      <c r="D35" s="61"/>
      <c r="E35" s="61"/>
      <c r="F35" s="62"/>
      <c r="G35" s="27" t="str">
        <f>IF(C32="YES ","Mandatory","N/A")</f>
        <v>N/A</v>
      </c>
    </row>
    <row r="36" spans="2:7" ht="30" customHeight="1">
      <c r="B36" s="17" t="s">
        <v>68</v>
      </c>
      <c r="C36" s="60"/>
      <c r="D36" s="61"/>
      <c r="E36" s="61"/>
      <c r="F36" s="62"/>
      <c r="G36" s="27" t="str">
        <f>IF(C32="YES ","Mandatory","N/A")</f>
        <v>N/A</v>
      </c>
    </row>
    <row r="37" spans="2:7" s="14" customFormat="1" ht="35.15" customHeight="1">
      <c r="B37" s="64" t="s">
        <v>115</v>
      </c>
      <c r="C37" s="65"/>
      <c r="D37" s="65"/>
      <c r="E37" s="65"/>
      <c r="F37" s="65"/>
      <c r="G37" s="66"/>
    </row>
    <row r="38" spans="2:7" ht="30" customHeight="1">
      <c r="B38" s="17" t="s">
        <v>20</v>
      </c>
      <c r="C38" s="54"/>
      <c r="D38" s="55"/>
      <c r="E38" s="55"/>
      <c r="F38" s="56"/>
      <c r="G38" s="27" t="str">
        <f>IF(C4="EXISTING ","Mandatory","N/A")</f>
        <v>N/A</v>
      </c>
    </row>
    <row r="39" spans="2:7" ht="35.15" customHeight="1">
      <c r="B39" s="17" t="s">
        <v>22</v>
      </c>
      <c r="C39" s="54"/>
      <c r="D39" s="55"/>
      <c r="E39" s="55"/>
      <c r="F39" s="56"/>
      <c r="G39" s="27" t="str">
        <f>IF(C4="EXISTING ","Mandatory","N/A")</f>
        <v>N/A</v>
      </c>
    </row>
    <row r="40" spans="2:7" ht="30" customHeight="1">
      <c r="B40" s="17" t="s">
        <v>73</v>
      </c>
      <c r="C40" s="60"/>
      <c r="D40" s="61"/>
      <c r="E40" s="61"/>
      <c r="F40" s="62"/>
      <c r="G40" s="27" t="str">
        <f>IF(C4="EXISTING ","Mandatory","N/A")</f>
        <v>N/A</v>
      </c>
    </row>
    <row r="41" spans="2:7" ht="30" customHeight="1">
      <c r="B41" s="17" t="s">
        <v>75</v>
      </c>
      <c r="C41" s="57" t="s">
        <v>94</v>
      </c>
      <c r="D41" s="58"/>
      <c r="E41" s="58"/>
      <c r="F41" s="59"/>
      <c r="G41" s="27" t="str">
        <f>IF(C4="EXISTING ","Mandatory","N/A")</f>
        <v>N/A</v>
      </c>
    </row>
    <row r="42" spans="2:7" ht="30" customHeight="1">
      <c r="B42" s="17" t="s">
        <v>77</v>
      </c>
      <c r="C42" s="57" t="s">
        <v>94</v>
      </c>
      <c r="D42" s="58"/>
      <c r="E42" s="58"/>
      <c r="F42" s="59"/>
      <c r="G42" s="27" t="str">
        <f>IF(C4="EXISTING ","Mandatory","N/A")</f>
        <v>N/A</v>
      </c>
    </row>
    <row r="43" spans="2:7" s="14" customFormat="1" ht="35.15" customHeight="1">
      <c r="B43" s="64" t="s">
        <v>79</v>
      </c>
      <c r="C43" s="65"/>
      <c r="D43" s="65"/>
      <c r="E43" s="65"/>
      <c r="F43" s="65"/>
      <c r="G43" s="66"/>
    </row>
    <row r="44" spans="2:7" ht="35.15" customHeight="1">
      <c r="B44" s="16" t="s">
        <v>80</v>
      </c>
      <c r="C44" s="54"/>
      <c r="D44" s="55"/>
      <c r="E44" s="55"/>
      <c r="F44" s="56"/>
      <c r="G44" s="27" t="str">
        <f>IF((OR(C4="NEW ",C4="EXISTING ")),"Mandatory","N/A")</f>
        <v>N/A</v>
      </c>
    </row>
    <row r="45" spans="2:7" ht="35.15" customHeight="1">
      <c r="B45" s="16" t="s">
        <v>82</v>
      </c>
      <c r="C45" s="54"/>
      <c r="D45" s="55"/>
      <c r="E45" s="55"/>
      <c r="F45" s="56"/>
      <c r="G45" s="27" t="str">
        <f>IF((OR(C4="NEW ",C4="EXISTING ")),"Mandatory","N/A")</f>
        <v>N/A</v>
      </c>
    </row>
    <row r="46" spans="2:7" ht="30" customHeight="1">
      <c r="B46" s="16" t="s">
        <v>84</v>
      </c>
      <c r="C46" s="60"/>
      <c r="D46" s="61"/>
      <c r="E46" s="61"/>
      <c r="F46" s="62"/>
      <c r="G46" s="27" t="str">
        <f>IF((OR(C4="NEW ",C4="EXISTING ")),"Mandatory","N/A")</f>
        <v>N/A</v>
      </c>
    </row>
    <row r="47" spans="2:7" ht="35.15" customHeight="1">
      <c r="B47" s="16" t="s">
        <v>86</v>
      </c>
      <c r="C47" s="60"/>
      <c r="D47" s="61"/>
      <c r="E47" s="61"/>
      <c r="F47" s="62"/>
      <c r="G47" s="27" t="str">
        <f>IF((OR(C4="NEW ",C4="EXISTING ")),"Mandatory","N/A")</f>
        <v>N/A</v>
      </c>
    </row>
    <row r="48" spans="2:7" ht="35.15" customHeight="1">
      <c r="B48" s="16" t="s">
        <v>116</v>
      </c>
      <c r="C48" s="81"/>
      <c r="D48" s="82"/>
      <c r="E48" s="82"/>
      <c r="F48" s="83"/>
      <c r="G48" s="27" t="str">
        <f>IF((OR(C4="NEW ",C4="EXISTING ")),"Mandatory","N/A")</f>
        <v>N/A</v>
      </c>
    </row>
    <row r="49" spans="2:7" s="14" customFormat="1" ht="35.15" customHeight="1">
      <c r="B49" s="64" t="s">
        <v>90</v>
      </c>
      <c r="C49" s="65"/>
      <c r="D49" s="65"/>
      <c r="E49" s="65"/>
      <c r="F49" s="65"/>
      <c r="G49" s="66"/>
    </row>
    <row r="50" spans="2:7" ht="14.5">
      <c r="B50" s="72"/>
      <c r="C50" s="73"/>
      <c r="D50" s="73"/>
      <c r="E50" s="73"/>
      <c r="F50" s="73"/>
      <c r="G50" s="74"/>
    </row>
    <row r="51" spans="2:7" ht="14.5">
      <c r="B51" s="75"/>
      <c r="C51" s="76"/>
      <c r="D51" s="76"/>
      <c r="E51" s="76"/>
      <c r="F51" s="76"/>
      <c r="G51" s="77"/>
    </row>
    <row r="52" spans="2:7" ht="20.5" customHeight="1">
      <c r="B52" s="78"/>
      <c r="C52" s="79"/>
      <c r="D52" s="79"/>
      <c r="E52" s="79"/>
      <c r="F52" s="79"/>
      <c r="G52" s="80"/>
    </row>
    <row r="53" spans="2:7" ht="15.5">
      <c r="B53" s="14"/>
      <c r="C53" s="14"/>
      <c r="D53" s="14"/>
      <c r="E53" s="14"/>
      <c r="F53"/>
      <c r="G53"/>
    </row>
    <row r="54" spans="2:7" ht="21">
      <c r="B54" s="14"/>
      <c r="C54" s="14"/>
      <c r="D54" s="14"/>
      <c r="E54" s="14"/>
      <c r="F54" s="70" t="s">
        <v>264</v>
      </c>
      <c r="G54" s="71"/>
    </row>
    <row r="55" spans="2:7" ht="15.5">
      <c r="B55" s="14"/>
      <c r="C55" s="14"/>
      <c r="D55" s="14"/>
      <c r="E55" s="14"/>
      <c r="F55"/>
      <c r="G55"/>
    </row>
    <row r="56" spans="2:7" ht="15.5">
      <c r="B56" s="14"/>
      <c r="C56" s="14"/>
      <c r="D56" s="14"/>
      <c r="E56" s="14"/>
      <c r="F56"/>
      <c r="G56"/>
    </row>
    <row r="57" spans="2:7" ht="15.5">
      <c r="B57" s="14"/>
      <c r="C57" s="14"/>
      <c r="D57" s="14"/>
      <c r="E57" s="14"/>
      <c r="F57"/>
      <c r="G57"/>
    </row>
    <row r="58" spans="2:7" ht="15.5">
      <c r="B58" s="14"/>
      <c r="C58" s="14"/>
      <c r="D58" s="14"/>
      <c r="E58" s="14"/>
      <c r="F58"/>
      <c r="G58"/>
    </row>
    <row r="59" spans="2:7" ht="15.5">
      <c r="B59" s="14"/>
      <c r="C59" s="14"/>
      <c r="D59" s="14"/>
      <c r="E59" s="14"/>
      <c r="F59"/>
      <c r="G59"/>
    </row>
    <row r="60" spans="2:7" ht="15.5">
      <c r="B60" s="14"/>
      <c r="C60" s="14"/>
      <c r="D60" s="14"/>
      <c r="E60" s="14"/>
      <c r="F60"/>
      <c r="G60"/>
    </row>
  </sheetData>
  <sheetProtection algorithmName="SHA-512" hashValue="PutkSg0r1Rft4thwqamoWKL/N1VwZx7VtW3Ec9JL3k/59ySozRN7siL0DRH8Ix1PHh+ENh/VHdibqjT6BEmLlQ==" saltValue="4CQ3NSdX3/+lP31huX4NEw==" spinCount="100000" sheet="1" objects="1" scenarios="1"/>
  <mergeCells count="50">
    <mergeCell ref="F54:G54"/>
    <mergeCell ref="B49:G49"/>
    <mergeCell ref="B50:G52"/>
    <mergeCell ref="C44:F44"/>
    <mergeCell ref="C45:F45"/>
    <mergeCell ref="C47:F47"/>
    <mergeCell ref="C48:F48"/>
    <mergeCell ref="C46:F46"/>
    <mergeCell ref="B43:G43"/>
    <mergeCell ref="B31:G31"/>
    <mergeCell ref="B17:G17"/>
    <mergeCell ref="D22:F22"/>
    <mergeCell ref="D27:F27"/>
    <mergeCell ref="D24:F24"/>
    <mergeCell ref="D23:F23"/>
    <mergeCell ref="D29:F29"/>
    <mergeCell ref="D18:F18"/>
    <mergeCell ref="B37:G37"/>
    <mergeCell ref="C42:F42"/>
    <mergeCell ref="D19:F19"/>
    <mergeCell ref="D25:F25"/>
    <mergeCell ref="D28:F28"/>
    <mergeCell ref="B2:G2"/>
    <mergeCell ref="B3:G3"/>
    <mergeCell ref="B10:G10"/>
    <mergeCell ref="D20:F20"/>
    <mergeCell ref="D21:F21"/>
    <mergeCell ref="C4:F4"/>
    <mergeCell ref="C5:F5"/>
    <mergeCell ref="C15:F15"/>
    <mergeCell ref="C6:F6"/>
    <mergeCell ref="C7:F7"/>
    <mergeCell ref="C8:F8"/>
    <mergeCell ref="C9:F9"/>
    <mergeCell ref="C11:F11"/>
    <mergeCell ref="C12:F12"/>
    <mergeCell ref="C13:F13"/>
    <mergeCell ref="C14:F14"/>
    <mergeCell ref="C16:F16"/>
    <mergeCell ref="C32:F32"/>
    <mergeCell ref="C34:F34"/>
    <mergeCell ref="C41:F41"/>
    <mergeCell ref="C39:F39"/>
    <mergeCell ref="C38:F38"/>
    <mergeCell ref="C40:F40"/>
    <mergeCell ref="C33:F33"/>
    <mergeCell ref="C36:F36"/>
    <mergeCell ref="C30:F30"/>
    <mergeCell ref="C35:F35"/>
    <mergeCell ref="D26:F26"/>
  </mergeCells>
  <conditionalFormatting sqref="G1:G49">
    <cfRule type="containsText" dxfId="79" priority="1" operator="containsText" text="Optional">
      <formula>NOT(ISERROR(SEARCH("Optional",G1)))</formula>
    </cfRule>
    <cfRule type="containsText" dxfId="78" priority="2" operator="containsText" text="Mandatory">
      <formula>NOT(ISERROR(SEARCH("Mandatory",G1)))</formula>
    </cfRule>
  </conditionalFormatting>
  <conditionalFormatting sqref="G61:G1048576">
    <cfRule type="containsText" dxfId="77" priority="54" operator="containsText" text="Optional">
      <formula>NOT(ISERROR(SEARCH("Optional",G61)))</formula>
    </cfRule>
    <cfRule type="containsText" dxfId="76" priority="55" operator="containsText" text="Mandatory">
      <formula>NOT(ISERROR(SEARCH("Mandatory",G61)))</formula>
    </cfRule>
  </conditionalFormatting>
  <pageMargins left="0.25" right="0.25" top="0.75" bottom="0.75" header="0.3" footer="0.3"/>
  <pageSetup paperSize="9" scale="34" orientation="portrait" r:id="rId1"/>
  <rowBreaks count="1" manualBreakCount="1">
    <brk id="9" max="16383" man="1"/>
  </rowBreaks>
  <colBreaks count="1" manualBreakCount="1">
    <brk id="8" max="1048575" man="1"/>
  </colBreaks>
  <extLst>
    <ext xmlns:x14="http://schemas.microsoft.com/office/spreadsheetml/2009/9/main" uri="{CCE6A557-97BC-4b89-ADB6-D9C93CAAB3DF}">
      <x14:dataValidations xmlns:xm="http://schemas.microsoft.com/office/excel/2006/main" count="5">
        <x14:dataValidation type="list" allowBlank="1" showInputMessage="1" showErrorMessage="1" xr:uid="{4479D5CC-ACED-46E5-9F7F-EA462CAB7434}">
          <x14:formula1>
            <xm:f>'Drop Down 2'!$C$2:$C$4</xm:f>
          </x14:formula1>
          <xm:sqref>C32</xm:sqref>
        </x14:dataValidation>
        <x14:dataValidation type="list" allowBlank="1" showInputMessage="1" showErrorMessage="1" xr:uid="{7F267900-6D04-4203-AF78-8FC880575935}">
          <x14:formula1>
            <xm:f>'Drop Down 2'!$A$2:$A$4</xm:f>
          </x14:formula1>
          <xm:sqref>C4</xm:sqref>
        </x14:dataValidation>
        <x14:dataValidation type="list" allowBlank="1" showInputMessage="1" showErrorMessage="1" xr:uid="{E1514ADC-2577-4056-920C-8410B698A424}">
          <x14:formula1>
            <xm:f>'Drop Down 2'!$B$2:$B$4</xm:f>
          </x14:formula1>
          <xm:sqref>C5</xm:sqref>
        </x14:dataValidation>
        <x14:dataValidation type="list" allowBlank="1" showInputMessage="1" showErrorMessage="1" xr:uid="{E0455D9B-A902-4E9A-9A0D-1DB50541612F}">
          <x14:formula1>
            <xm:f>'Drop Down 2'!$E$2:$E$4</xm:f>
          </x14:formula1>
          <xm:sqref>C41:C42</xm:sqref>
        </x14:dataValidation>
        <x14:dataValidation type="list" allowBlank="1" showInputMessage="1" showErrorMessage="1" xr:uid="{DEB7B459-FD79-4F7F-BDF7-3632CB0CD3EA}">
          <x14:formula1>
            <xm:f>'Drop Down 1'!$A$3:$A$133</xm:f>
          </x14:formula1>
          <xm:sqref>C15:F15 C34:F34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548C-A6F6-4CBF-888D-B948B9D3756A}">
  <sheetPr codeName="Sheet3"/>
  <dimension ref="A1:L133"/>
  <sheetViews>
    <sheetView zoomScale="55" zoomScaleNormal="55" workbookViewId="0">
      <pane ySplit="2" topLeftCell="A3" activePane="bottomLeft" state="frozen"/>
      <selection activeCell="C46" sqref="C46:F46"/>
      <selection pane="bottomLeft" activeCell="H23" sqref="H23"/>
    </sheetView>
  </sheetViews>
  <sheetFormatPr defaultColWidth="11.81640625" defaultRowHeight="10.5" outlineLevelCol="1"/>
  <cols>
    <col min="1" max="1" width="23.81640625" style="8" hidden="1" customWidth="1" outlineLevel="1"/>
    <col min="2" max="2" width="31.81640625" style="9" hidden="1" customWidth="1" outlineLevel="1"/>
    <col min="3" max="3" width="11.1796875" style="9" hidden="1" customWidth="1" outlineLevel="1"/>
    <col min="4" max="4" width="12.1796875" style="9" hidden="1" customWidth="1" outlineLevel="1"/>
    <col min="5" max="5" width="19" style="9" hidden="1" customWidth="1" outlineLevel="1"/>
    <col min="6" max="6" width="20.81640625" style="9" hidden="1" customWidth="1" outlineLevel="1"/>
    <col min="7" max="7" width="42.81640625" style="9" hidden="1" customWidth="1" outlineLevel="1"/>
    <col min="8" max="8" width="22.1796875" style="9" hidden="1" customWidth="1" outlineLevel="1"/>
    <col min="9" max="9" width="42.453125" style="9" hidden="1" customWidth="1" outlineLevel="1"/>
    <col min="10" max="10" width="42.81640625" style="9" hidden="1" customWidth="1" outlineLevel="1"/>
    <col min="11" max="11" width="45.81640625" style="9" hidden="1" customWidth="1" outlineLevel="1"/>
    <col min="12" max="12" width="11.81640625" style="7" collapsed="1"/>
    <col min="13" max="16384" width="11.81640625" style="7"/>
  </cols>
  <sheetData>
    <row r="1" spans="1:11" ht="11.15" customHeight="1">
      <c r="A1" s="8">
        <v>1</v>
      </c>
      <c r="B1" s="8">
        <v>2</v>
      </c>
      <c r="C1" s="8">
        <v>3</v>
      </c>
      <c r="D1" s="8">
        <v>4</v>
      </c>
      <c r="E1" s="8">
        <v>5</v>
      </c>
      <c r="F1" s="8">
        <v>6</v>
      </c>
      <c r="G1" s="8">
        <v>7</v>
      </c>
      <c r="H1" s="8">
        <v>8</v>
      </c>
      <c r="I1" s="8">
        <v>9</v>
      </c>
      <c r="J1" s="8">
        <v>10</v>
      </c>
      <c r="K1" s="8">
        <v>11</v>
      </c>
    </row>
    <row r="2" spans="1:11" s="4" customFormat="1">
      <c r="A2" s="3" t="s">
        <v>117</v>
      </c>
      <c r="B2" s="2" t="s">
        <v>101</v>
      </c>
      <c r="C2" s="2" t="s">
        <v>41</v>
      </c>
      <c r="D2" s="2" t="s">
        <v>43</v>
      </c>
      <c r="E2" s="2" t="s">
        <v>118</v>
      </c>
      <c r="F2" s="2" t="s">
        <v>47</v>
      </c>
      <c r="G2" s="2" t="s">
        <v>49</v>
      </c>
      <c r="H2" s="2" t="s">
        <v>119</v>
      </c>
      <c r="I2" s="2" t="s">
        <v>53</v>
      </c>
      <c r="J2" s="2" t="s">
        <v>55</v>
      </c>
      <c r="K2" s="2" t="s">
        <v>57</v>
      </c>
    </row>
    <row r="3" spans="1:11" s="4" customFormat="1">
      <c r="A3" s="39" t="s">
        <v>97</v>
      </c>
      <c r="B3" s="6" t="s">
        <v>120</v>
      </c>
      <c r="C3" s="6" t="s">
        <v>120</v>
      </c>
      <c r="D3" s="6" t="s">
        <v>120</v>
      </c>
      <c r="E3" s="6" t="s">
        <v>120</v>
      </c>
      <c r="F3" s="6" t="s">
        <v>120</v>
      </c>
      <c r="G3" s="6" t="s">
        <v>120</v>
      </c>
      <c r="H3" s="6" t="s">
        <v>120</v>
      </c>
      <c r="I3" s="6" t="s">
        <v>120</v>
      </c>
      <c r="J3" s="6" t="s">
        <v>120</v>
      </c>
      <c r="K3" s="6" t="s">
        <v>120</v>
      </c>
    </row>
    <row r="4" spans="1:11" s="4" customFormat="1">
      <c r="A4" s="13" t="s">
        <v>121</v>
      </c>
      <c r="B4" s="5" t="s">
        <v>122</v>
      </c>
      <c r="C4" s="5" t="s">
        <v>122</v>
      </c>
      <c r="D4" s="5" t="s">
        <v>122</v>
      </c>
      <c r="E4" s="5" t="s">
        <v>122</v>
      </c>
      <c r="F4" s="5" t="s">
        <v>122</v>
      </c>
      <c r="G4" s="5" t="s">
        <v>122</v>
      </c>
      <c r="H4" s="5" t="s">
        <v>122</v>
      </c>
      <c r="I4" s="5" t="s">
        <v>122</v>
      </c>
      <c r="J4" s="5" t="s">
        <v>122</v>
      </c>
      <c r="K4" s="5" t="s">
        <v>122</v>
      </c>
    </row>
    <row r="5" spans="1:11">
      <c r="A5" s="12" t="s">
        <v>123</v>
      </c>
      <c r="B5" s="5" t="s">
        <v>122</v>
      </c>
      <c r="C5" s="6" t="s">
        <v>120</v>
      </c>
      <c r="D5" s="6" t="s">
        <v>120</v>
      </c>
      <c r="E5" s="6" t="s">
        <v>120</v>
      </c>
      <c r="F5" s="6" t="s">
        <v>120</v>
      </c>
      <c r="G5" s="6" t="s">
        <v>120</v>
      </c>
      <c r="H5" s="6" t="s">
        <v>120</v>
      </c>
      <c r="I5" s="6" t="s">
        <v>120</v>
      </c>
      <c r="J5" s="6" t="s">
        <v>120</v>
      </c>
      <c r="K5" s="5" t="s">
        <v>124</v>
      </c>
    </row>
    <row r="6" spans="1:11">
      <c r="A6" s="12" t="s">
        <v>125</v>
      </c>
      <c r="B6" s="5" t="s">
        <v>122</v>
      </c>
      <c r="C6" s="6" t="s">
        <v>120</v>
      </c>
      <c r="D6" s="6" t="s">
        <v>120</v>
      </c>
      <c r="E6" s="6" t="s">
        <v>120</v>
      </c>
      <c r="F6" s="6" t="s">
        <v>120</v>
      </c>
      <c r="G6" s="6" t="s">
        <v>120</v>
      </c>
      <c r="H6" s="6" t="s">
        <v>120</v>
      </c>
      <c r="I6" s="6" t="s">
        <v>120</v>
      </c>
      <c r="J6" s="6" t="s">
        <v>120</v>
      </c>
      <c r="K6" s="5" t="s">
        <v>124</v>
      </c>
    </row>
    <row r="7" spans="1:11">
      <c r="A7" s="12" t="s">
        <v>126</v>
      </c>
      <c r="B7" s="5" t="s">
        <v>122</v>
      </c>
      <c r="C7" s="6" t="s">
        <v>120</v>
      </c>
      <c r="D7" s="43" t="s">
        <v>127</v>
      </c>
      <c r="E7" s="6" t="s">
        <v>120</v>
      </c>
      <c r="F7" s="6" t="s">
        <v>120</v>
      </c>
      <c r="G7" s="6" t="s">
        <v>120</v>
      </c>
      <c r="H7" s="6" t="s">
        <v>120</v>
      </c>
      <c r="I7" s="6" t="s">
        <v>120</v>
      </c>
      <c r="J7" s="6" t="s">
        <v>120</v>
      </c>
      <c r="K7" s="5" t="s">
        <v>124</v>
      </c>
    </row>
    <row r="8" spans="1:11">
      <c r="A8" s="12" t="s">
        <v>128</v>
      </c>
      <c r="B8" s="44" t="s">
        <v>127</v>
      </c>
      <c r="C8" s="6" t="s">
        <v>120</v>
      </c>
      <c r="D8" s="6" t="s">
        <v>120</v>
      </c>
      <c r="E8" s="6" t="s">
        <v>120</v>
      </c>
      <c r="F8" s="6" t="s">
        <v>120</v>
      </c>
      <c r="G8" s="6" t="s">
        <v>120</v>
      </c>
      <c r="H8" s="6" t="s">
        <v>120</v>
      </c>
      <c r="I8" s="6" t="s">
        <v>120</v>
      </c>
      <c r="J8" s="6" t="s">
        <v>120</v>
      </c>
      <c r="K8" s="5" t="s">
        <v>124</v>
      </c>
    </row>
    <row r="9" spans="1:11">
      <c r="A9" s="12" t="s">
        <v>129</v>
      </c>
      <c r="B9" s="5" t="s">
        <v>122</v>
      </c>
      <c r="C9" s="6" t="s">
        <v>120</v>
      </c>
      <c r="D9" s="6" t="s">
        <v>120</v>
      </c>
      <c r="E9" s="6" t="s">
        <v>120</v>
      </c>
      <c r="F9" s="6" t="s">
        <v>120</v>
      </c>
      <c r="G9" s="6" t="s">
        <v>120</v>
      </c>
      <c r="H9" s="6" t="s">
        <v>120</v>
      </c>
      <c r="I9" s="6" t="s">
        <v>120</v>
      </c>
      <c r="J9" s="6" t="s">
        <v>120</v>
      </c>
      <c r="K9" s="5" t="s">
        <v>124</v>
      </c>
    </row>
    <row r="10" spans="1:11">
      <c r="A10" s="12" t="s">
        <v>130</v>
      </c>
      <c r="B10" s="44" t="s">
        <v>127</v>
      </c>
      <c r="C10" s="6" t="s">
        <v>120</v>
      </c>
      <c r="D10" s="6" t="s">
        <v>120</v>
      </c>
      <c r="E10" s="6" t="s">
        <v>120</v>
      </c>
      <c r="F10" s="6" t="s">
        <v>120</v>
      </c>
      <c r="G10" s="6" t="s">
        <v>120</v>
      </c>
      <c r="H10" s="6" t="s">
        <v>120</v>
      </c>
      <c r="I10" s="6" t="s">
        <v>120</v>
      </c>
      <c r="J10" s="6" t="s">
        <v>120</v>
      </c>
      <c r="K10" s="5" t="s">
        <v>124</v>
      </c>
    </row>
    <row r="11" spans="1:11">
      <c r="A11" s="12" t="s">
        <v>131</v>
      </c>
      <c r="B11" s="5" t="s">
        <v>122</v>
      </c>
      <c r="C11" s="6" t="s">
        <v>120</v>
      </c>
      <c r="D11" s="6" t="s">
        <v>120</v>
      </c>
      <c r="E11" s="6" t="s">
        <v>120</v>
      </c>
      <c r="F11" s="6" t="s">
        <v>120</v>
      </c>
      <c r="G11" s="6" t="s">
        <v>120</v>
      </c>
      <c r="H11" s="6" t="s">
        <v>120</v>
      </c>
      <c r="I11" s="6" t="s">
        <v>120</v>
      </c>
      <c r="J11" s="6" t="s">
        <v>120</v>
      </c>
      <c r="K11" s="5" t="s">
        <v>124</v>
      </c>
    </row>
    <row r="12" spans="1:11">
      <c r="A12" s="12" t="s">
        <v>132</v>
      </c>
      <c r="B12" s="44" t="s">
        <v>127</v>
      </c>
      <c r="C12" s="6" t="s">
        <v>120</v>
      </c>
      <c r="D12" s="6" t="s">
        <v>120</v>
      </c>
      <c r="E12" s="6" t="s">
        <v>120</v>
      </c>
      <c r="F12" s="6" t="s">
        <v>120</v>
      </c>
      <c r="G12" s="6" t="s">
        <v>120</v>
      </c>
      <c r="H12" s="6" t="s">
        <v>120</v>
      </c>
      <c r="I12" s="6" t="s">
        <v>120</v>
      </c>
      <c r="J12" s="6" t="s">
        <v>120</v>
      </c>
      <c r="K12" s="5" t="s">
        <v>124</v>
      </c>
    </row>
    <row r="13" spans="1:11">
      <c r="A13" s="12" t="s">
        <v>133</v>
      </c>
      <c r="B13" s="44" t="s">
        <v>127</v>
      </c>
      <c r="C13" s="6" t="s">
        <v>120</v>
      </c>
      <c r="D13" s="6" t="s">
        <v>120</v>
      </c>
      <c r="E13" s="6" t="s">
        <v>120</v>
      </c>
      <c r="F13" s="6" t="s">
        <v>120</v>
      </c>
      <c r="G13" s="6" t="s">
        <v>120</v>
      </c>
      <c r="H13" s="6" t="s">
        <v>120</v>
      </c>
      <c r="I13" s="6" t="s">
        <v>120</v>
      </c>
      <c r="J13" s="6" t="s">
        <v>120</v>
      </c>
      <c r="K13" s="5" t="s">
        <v>124</v>
      </c>
    </row>
    <row r="14" spans="1:11">
      <c r="A14" s="12" t="s">
        <v>134</v>
      </c>
      <c r="B14" s="5" t="s">
        <v>122</v>
      </c>
      <c r="C14" s="6" t="s">
        <v>120</v>
      </c>
      <c r="D14" s="6" t="s">
        <v>120</v>
      </c>
      <c r="E14" s="6" t="s">
        <v>120</v>
      </c>
      <c r="F14" s="6" t="s">
        <v>120</v>
      </c>
      <c r="G14" s="6" t="s">
        <v>120</v>
      </c>
      <c r="H14" s="6" t="s">
        <v>120</v>
      </c>
      <c r="I14" s="6" t="s">
        <v>120</v>
      </c>
      <c r="J14" s="6" t="s">
        <v>120</v>
      </c>
      <c r="K14" s="5" t="s">
        <v>124</v>
      </c>
    </row>
    <row r="15" spans="1:11">
      <c r="A15" s="12" t="s">
        <v>135</v>
      </c>
      <c r="B15" s="5" t="s">
        <v>122</v>
      </c>
      <c r="C15" s="6" t="s">
        <v>120</v>
      </c>
      <c r="D15" s="6" t="s">
        <v>120</v>
      </c>
      <c r="E15" s="6" t="s">
        <v>120</v>
      </c>
      <c r="F15" s="6" t="s">
        <v>120</v>
      </c>
      <c r="G15" s="6" t="s">
        <v>120</v>
      </c>
      <c r="H15" s="6" t="s">
        <v>120</v>
      </c>
      <c r="I15" s="6" t="s">
        <v>120</v>
      </c>
      <c r="J15" s="6" t="s">
        <v>120</v>
      </c>
      <c r="K15" s="5" t="s">
        <v>124</v>
      </c>
    </row>
    <row r="16" spans="1:11">
      <c r="A16" s="12" t="s">
        <v>136</v>
      </c>
      <c r="B16" s="5" t="s">
        <v>122</v>
      </c>
      <c r="C16" s="6" t="s">
        <v>120</v>
      </c>
      <c r="D16" s="6" t="s">
        <v>120</v>
      </c>
      <c r="E16" s="6" t="s">
        <v>120</v>
      </c>
      <c r="F16" s="6" t="s">
        <v>120</v>
      </c>
      <c r="G16" s="6" t="s">
        <v>120</v>
      </c>
      <c r="H16" s="6" t="s">
        <v>120</v>
      </c>
      <c r="I16" s="6" t="s">
        <v>120</v>
      </c>
      <c r="J16" s="6" t="s">
        <v>120</v>
      </c>
      <c r="K16" s="5" t="s">
        <v>124</v>
      </c>
    </row>
    <row r="17" spans="1:11">
      <c r="A17" s="12" t="s">
        <v>137</v>
      </c>
      <c r="B17" s="44" t="s">
        <v>127</v>
      </c>
      <c r="C17" s="6" t="s">
        <v>120</v>
      </c>
      <c r="D17" s="6" t="s">
        <v>120</v>
      </c>
      <c r="E17" s="6" t="s">
        <v>120</v>
      </c>
      <c r="F17" s="6" t="s">
        <v>120</v>
      </c>
      <c r="G17" s="6" t="s">
        <v>120</v>
      </c>
      <c r="H17" s="6" t="s">
        <v>120</v>
      </c>
      <c r="I17" s="6" t="s">
        <v>120</v>
      </c>
      <c r="J17" s="6" t="s">
        <v>120</v>
      </c>
      <c r="K17" s="5" t="s">
        <v>124</v>
      </c>
    </row>
    <row r="18" spans="1:11">
      <c r="A18" s="12" t="s">
        <v>138</v>
      </c>
      <c r="B18" s="44" t="s">
        <v>127</v>
      </c>
      <c r="C18" s="6" t="s">
        <v>120</v>
      </c>
      <c r="D18" s="6" t="s">
        <v>120</v>
      </c>
      <c r="E18" s="6" t="s">
        <v>120</v>
      </c>
      <c r="F18" s="6" t="s">
        <v>120</v>
      </c>
      <c r="G18" s="6" t="s">
        <v>120</v>
      </c>
      <c r="H18" s="6" t="s">
        <v>120</v>
      </c>
      <c r="I18" s="6" t="s">
        <v>120</v>
      </c>
      <c r="J18" s="6" t="s">
        <v>120</v>
      </c>
      <c r="K18" s="5" t="s">
        <v>124</v>
      </c>
    </row>
    <row r="19" spans="1:11">
      <c r="A19" s="12" t="s">
        <v>139</v>
      </c>
      <c r="B19" s="5" t="s">
        <v>122</v>
      </c>
      <c r="C19" s="6" t="s">
        <v>120</v>
      </c>
      <c r="D19" s="6" t="s">
        <v>120</v>
      </c>
      <c r="E19" s="6" t="s">
        <v>120</v>
      </c>
      <c r="F19" s="6" t="s">
        <v>120</v>
      </c>
      <c r="G19" s="6" t="s">
        <v>120</v>
      </c>
      <c r="H19" s="6" t="s">
        <v>120</v>
      </c>
      <c r="I19" s="6" t="s">
        <v>120</v>
      </c>
      <c r="J19" s="6" t="s">
        <v>120</v>
      </c>
      <c r="K19" s="5" t="s">
        <v>124</v>
      </c>
    </row>
    <row r="20" spans="1:11">
      <c r="A20" s="12" t="s">
        <v>140</v>
      </c>
      <c r="B20" s="5" t="s">
        <v>122</v>
      </c>
      <c r="C20" s="6" t="s">
        <v>120</v>
      </c>
      <c r="D20" s="6" t="s">
        <v>120</v>
      </c>
      <c r="E20" s="6" t="s">
        <v>120</v>
      </c>
      <c r="F20" s="6" t="s">
        <v>120</v>
      </c>
      <c r="G20" s="6" t="s">
        <v>120</v>
      </c>
      <c r="H20" s="6" t="s">
        <v>120</v>
      </c>
      <c r="I20" s="6" t="s">
        <v>120</v>
      </c>
      <c r="J20" s="6" t="s">
        <v>120</v>
      </c>
      <c r="K20" s="5" t="s">
        <v>124</v>
      </c>
    </row>
    <row r="21" spans="1:11">
      <c r="A21" s="12" t="s">
        <v>141</v>
      </c>
      <c r="B21" s="44" t="s">
        <v>127</v>
      </c>
      <c r="C21" s="6" t="s">
        <v>120</v>
      </c>
      <c r="D21" s="6" t="s">
        <v>120</v>
      </c>
      <c r="E21" s="6" t="s">
        <v>120</v>
      </c>
      <c r="F21" s="6" t="s">
        <v>120</v>
      </c>
      <c r="G21" s="6" t="s">
        <v>120</v>
      </c>
      <c r="H21" s="6" t="s">
        <v>120</v>
      </c>
      <c r="I21" s="6" t="s">
        <v>120</v>
      </c>
      <c r="J21" s="6" t="s">
        <v>120</v>
      </c>
      <c r="K21" s="5" t="s">
        <v>124</v>
      </c>
    </row>
    <row r="22" spans="1:11">
      <c r="A22" s="12" t="s">
        <v>142</v>
      </c>
      <c r="B22" s="5" t="s">
        <v>122</v>
      </c>
      <c r="C22" s="6" t="s">
        <v>120</v>
      </c>
      <c r="D22" s="6" t="s">
        <v>120</v>
      </c>
      <c r="E22" s="6" t="s">
        <v>120</v>
      </c>
      <c r="F22" s="6" t="s">
        <v>120</v>
      </c>
      <c r="G22" s="6" t="s">
        <v>120</v>
      </c>
      <c r="H22" s="6" t="s">
        <v>120</v>
      </c>
      <c r="I22" s="6" t="s">
        <v>120</v>
      </c>
      <c r="J22" s="6" t="s">
        <v>120</v>
      </c>
      <c r="K22" s="5" t="s">
        <v>124</v>
      </c>
    </row>
    <row r="23" spans="1:11">
      <c r="A23" s="12" t="s">
        <v>143</v>
      </c>
      <c r="B23" s="5" t="s">
        <v>122</v>
      </c>
      <c r="C23" s="6" t="s">
        <v>120</v>
      </c>
      <c r="D23" s="6" t="s">
        <v>120</v>
      </c>
      <c r="E23" s="44" t="s">
        <v>127</v>
      </c>
      <c r="F23" s="6" t="s">
        <v>120</v>
      </c>
      <c r="G23" s="6" t="s">
        <v>120</v>
      </c>
      <c r="H23" s="6" t="s">
        <v>120</v>
      </c>
      <c r="I23" s="6" t="s">
        <v>120</v>
      </c>
      <c r="J23" s="6" t="s">
        <v>120</v>
      </c>
      <c r="K23" s="5" t="s">
        <v>124</v>
      </c>
    </row>
    <row r="24" spans="1:11">
      <c r="A24" s="12" t="s">
        <v>144</v>
      </c>
      <c r="B24" s="5" t="s">
        <v>122</v>
      </c>
      <c r="C24" s="6" t="s">
        <v>120</v>
      </c>
      <c r="D24" s="6" t="s">
        <v>120</v>
      </c>
      <c r="E24" s="6" t="s">
        <v>120</v>
      </c>
      <c r="F24" s="6" t="s">
        <v>120</v>
      </c>
      <c r="G24" s="6" t="s">
        <v>120</v>
      </c>
      <c r="H24" s="6" t="s">
        <v>120</v>
      </c>
      <c r="I24" s="6" t="s">
        <v>120</v>
      </c>
      <c r="J24" s="6" t="s">
        <v>120</v>
      </c>
      <c r="K24" s="5" t="s">
        <v>124</v>
      </c>
    </row>
    <row r="25" spans="1:11">
      <c r="A25" s="12" t="s">
        <v>145</v>
      </c>
      <c r="B25" s="5" t="s">
        <v>122</v>
      </c>
      <c r="C25" s="6" t="s">
        <v>120</v>
      </c>
      <c r="D25" s="6" t="s">
        <v>120</v>
      </c>
      <c r="E25" s="6" t="s">
        <v>120</v>
      </c>
      <c r="F25" s="6" t="s">
        <v>120</v>
      </c>
      <c r="G25" s="6" t="s">
        <v>120</v>
      </c>
      <c r="H25" s="6" t="s">
        <v>120</v>
      </c>
      <c r="I25" s="6" t="s">
        <v>120</v>
      </c>
      <c r="J25" s="6" t="s">
        <v>120</v>
      </c>
      <c r="K25" s="5" t="s">
        <v>124</v>
      </c>
    </row>
    <row r="26" spans="1:11">
      <c r="A26" s="12" t="s">
        <v>146</v>
      </c>
      <c r="B26" s="5" t="s">
        <v>122</v>
      </c>
      <c r="C26" s="6" t="s">
        <v>120</v>
      </c>
      <c r="D26" s="6" t="s">
        <v>120</v>
      </c>
      <c r="E26" s="6" t="s">
        <v>120</v>
      </c>
      <c r="F26" s="6" t="s">
        <v>120</v>
      </c>
      <c r="G26" s="6" t="s">
        <v>120</v>
      </c>
      <c r="H26" s="6" t="s">
        <v>120</v>
      </c>
      <c r="I26" s="6" t="s">
        <v>120</v>
      </c>
      <c r="J26" s="6" t="s">
        <v>120</v>
      </c>
      <c r="K26" s="5" t="s">
        <v>124</v>
      </c>
    </row>
    <row r="27" spans="1:11">
      <c r="A27" s="12" t="s">
        <v>147</v>
      </c>
      <c r="B27" s="5" t="s">
        <v>122</v>
      </c>
      <c r="C27" s="6" t="s">
        <v>120</v>
      </c>
      <c r="D27" s="6" t="s">
        <v>120</v>
      </c>
      <c r="E27" s="6" t="s">
        <v>120</v>
      </c>
      <c r="F27" s="6" t="s">
        <v>120</v>
      </c>
      <c r="G27" s="6" t="s">
        <v>120</v>
      </c>
      <c r="H27" s="6" t="s">
        <v>120</v>
      </c>
      <c r="I27" s="6" t="s">
        <v>120</v>
      </c>
      <c r="J27" s="6" t="s">
        <v>120</v>
      </c>
      <c r="K27" s="5" t="s">
        <v>124</v>
      </c>
    </row>
    <row r="28" spans="1:11">
      <c r="A28" s="12" t="s">
        <v>148</v>
      </c>
      <c r="B28" s="44" t="s">
        <v>127</v>
      </c>
      <c r="C28" s="6" t="s">
        <v>120</v>
      </c>
      <c r="D28" s="6" t="s">
        <v>120</v>
      </c>
      <c r="E28" s="6" t="s">
        <v>120</v>
      </c>
      <c r="F28" s="6" t="s">
        <v>120</v>
      </c>
      <c r="G28" s="6" t="s">
        <v>120</v>
      </c>
      <c r="H28" s="6" t="s">
        <v>120</v>
      </c>
      <c r="I28" s="6" t="s">
        <v>120</v>
      </c>
      <c r="J28" s="6" t="s">
        <v>120</v>
      </c>
      <c r="K28" s="5" t="s">
        <v>124</v>
      </c>
    </row>
    <row r="29" spans="1:11">
      <c r="A29" s="12" t="s">
        <v>149</v>
      </c>
      <c r="B29" s="44" t="s">
        <v>127</v>
      </c>
      <c r="C29" s="6" t="s">
        <v>120</v>
      </c>
      <c r="D29" s="6" t="s">
        <v>120</v>
      </c>
      <c r="E29" s="6" t="s">
        <v>120</v>
      </c>
      <c r="F29" s="6" t="s">
        <v>120</v>
      </c>
      <c r="G29" s="6" t="s">
        <v>120</v>
      </c>
      <c r="H29" s="6" t="s">
        <v>120</v>
      </c>
      <c r="I29" s="6" t="s">
        <v>120</v>
      </c>
      <c r="J29" s="6" t="s">
        <v>120</v>
      </c>
      <c r="K29" s="5" t="s">
        <v>124</v>
      </c>
    </row>
    <row r="30" spans="1:11">
      <c r="A30" s="12" t="s">
        <v>150</v>
      </c>
      <c r="B30" s="44" t="s">
        <v>127</v>
      </c>
      <c r="C30" s="6" t="s">
        <v>120</v>
      </c>
      <c r="D30" s="6" t="s">
        <v>120</v>
      </c>
      <c r="E30" s="6" t="s">
        <v>120</v>
      </c>
      <c r="F30" s="6" t="s">
        <v>120</v>
      </c>
      <c r="G30" s="6" t="s">
        <v>120</v>
      </c>
      <c r="H30" s="6" t="s">
        <v>120</v>
      </c>
      <c r="I30" s="6" t="s">
        <v>120</v>
      </c>
      <c r="J30" s="6" t="s">
        <v>120</v>
      </c>
      <c r="K30" s="5" t="s">
        <v>124</v>
      </c>
    </row>
    <row r="31" spans="1:11">
      <c r="A31" s="12" t="s">
        <v>151</v>
      </c>
      <c r="B31" s="44" t="s">
        <v>127</v>
      </c>
      <c r="C31" s="6" t="s">
        <v>120</v>
      </c>
      <c r="D31" s="6" t="s">
        <v>120</v>
      </c>
      <c r="E31" s="6" t="s">
        <v>120</v>
      </c>
      <c r="F31" s="6" t="s">
        <v>120</v>
      </c>
      <c r="G31" s="6" t="s">
        <v>120</v>
      </c>
      <c r="H31" s="6" t="s">
        <v>120</v>
      </c>
      <c r="I31" s="6" t="s">
        <v>120</v>
      </c>
      <c r="J31" s="6" t="s">
        <v>120</v>
      </c>
      <c r="K31" s="5" t="s">
        <v>124</v>
      </c>
    </row>
    <row r="32" spans="1:11">
      <c r="A32" s="12" t="s">
        <v>152</v>
      </c>
      <c r="B32" s="44" t="s">
        <v>127</v>
      </c>
      <c r="C32" s="6" t="s">
        <v>120</v>
      </c>
      <c r="D32" s="6" t="s">
        <v>120</v>
      </c>
      <c r="E32" s="6" t="s">
        <v>120</v>
      </c>
      <c r="F32" s="6" t="s">
        <v>120</v>
      </c>
      <c r="G32" s="6" t="s">
        <v>120</v>
      </c>
      <c r="H32" s="6" t="s">
        <v>120</v>
      </c>
      <c r="I32" s="6" t="s">
        <v>120</v>
      </c>
      <c r="J32" s="6" t="s">
        <v>120</v>
      </c>
      <c r="K32" s="5" t="s">
        <v>124</v>
      </c>
    </row>
    <row r="33" spans="1:11">
      <c r="A33" s="12" t="s">
        <v>153</v>
      </c>
      <c r="B33" s="5" t="s">
        <v>122</v>
      </c>
      <c r="C33" s="6" t="s">
        <v>120</v>
      </c>
      <c r="D33" s="6" t="s">
        <v>120</v>
      </c>
      <c r="E33" s="6" t="s">
        <v>120</v>
      </c>
      <c r="F33" s="6" t="s">
        <v>120</v>
      </c>
      <c r="G33" s="6" t="s">
        <v>120</v>
      </c>
      <c r="H33" s="6" t="s">
        <v>120</v>
      </c>
      <c r="I33" s="6" t="s">
        <v>120</v>
      </c>
      <c r="J33" s="6" t="s">
        <v>120</v>
      </c>
      <c r="K33" s="5" t="s">
        <v>124</v>
      </c>
    </row>
    <row r="34" spans="1:11">
      <c r="A34" s="12" t="s">
        <v>154</v>
      </c>
      <c r="B34" s="5" t="s">
        <v>122</v>
      </c>
      <c r="C34" s="6" t="s">
        <v>120</v>
      </c>
      <c r="D34" s="6" t="s">
        <v>120</v>
      </c>
      <c r="E34" s="6" t="s">
        <v>120</v>
      </c>
      <c r="F34" s="6" t="s">
        <v>120</v>
      </c>
      <c r="G34" s="6" t="s">
        <v>120</v>
      </c>
      <c r="H34" s="6" t="s">
        <v>120</v>
      </c>
      <c r="I34" s="6" t="s">
        <v>120</v>
      </c>
      <c r="J34" s="6" t="s">
        <v>120</v>
      </c>
      <c r="K34" s="5" t="s">
        <v>124</v>
      </c>
    </row>
    <row r="35" spans="1:11">
      <c r="A35" s="12" t="s">
        <v>155</v>
      </c>
      <c r="B35" s="44" t="s">
        <v>127</v>
      </c>
      <c r="C35" s="6" t="s">
        <v>120</v>
      </c>
      <c r="D35" s="6" t="s">
        <v>120</v>
      </c>
      <c r="E35" s="6" t="s">
        <v>120</v>
      </c>
      <c r="F35" s="6" t="s">
        <v>120</v>
      </c>
      <c r="G35" s="6" t="s">
        <v>120</v>
      </c>
      <c r="H35" s="6" t="s">
        <v>120</v>
      </c>
      <c r="I35" s="6" t="s">
        <v>120</v>
      </c>
      <c r="J35" s="6" t="s">
        <v>120</v>
      </c>
      <c r="K35" s="5" t="s">
        <v>124</v>
      </c>
    </row>
    <row r="36" spans="1:11">
      <c r="A36" s="12" t="s">
        <v>156</v>
      </c>
      <c r="B36" s="44" t="s">
        <v>127</v>
      </c>
      <c r="C36" s="6" t="s">
        <v>120</v>
      </c>
      <c r="D36" s="6" t="s">
        <v>120</v>
      </c>
      <c r="E36" s="6" t="s">
        <v>120</v>
      </c>
      <c r="F36" s="6" t="s">
        <v>120</v>
      </c>
      <c r="G36" s="6" t="s">
        <v>120</v>
      </c>
      <c r="H36" s="6" t="s">
        <v>120</v>
      </c>
      <c r="I36" s="6" t="s">
        <v>120</v>
      </c>
      <c r="J36" s="6" t="s">
        <v>120</v>
      </c>
      <c r="K36" s="5" t="s">
        <v>124</v>
      </c>
    </row>
    <row r="37" spans="1:11">
      <c r="A37" s="12" t="s">
        <v>157</v>
      </c>
      <c r="B37" s="44" t="s">
        <v>127</v>
      </c>
      <c r="C37" s="6" t="s">
        <v>120</v>
      </c>
      <c r="D37" s="6" t="s">
        <v>120</v>
      </c>
      <c r="E37" s="6" t="s">
        <v>120</v>
      </c>
      <c r="F37" s="6" t="s">
        <v>120</v>
      </c>
      <c r="G37" s="6" t="s">
        <v>120</v>
      </c>
      <c r="H37" s="6" t="s">
        <v>120</v>
      </c>
      <c r="I37" s="6" t="s">
        <v>120</v>
      </c>
      <c r="J37" s="6" t="s">
        <v>120</v>
      </c>
      <c r="K37" s="5" t="s">
        <v>124</v>
      </c>
    </row>
    <row r="38" spans="1:11">
      <c r="A38" s="12" t="s">
        <v>158</v>
      </c>
      <c r="B38" s="5" t="s">
        <v>122</v>
      </c>
      <c r="C38" s="6" t="s">
        <v>120</v>
      </c>
      <c r="D38" s="6" t="s">
        <v>120</v>
      </c>
      <c r="E38" s="6" t="s">
        <v>120</v>
      </c>
      <c r="F38" s="6" t="s">
        <v>120</v>
      </c>
      <c r="G38" s="6" t="s">
        <v>120</v>
      </c>
      <c r="H38" s="6" t="s">
        <v>120</v>
      </c>
      <c r="I38" s="6" t="s">
        <v>120</v>
      </c>
      <c r="J38" s="6" t="s">
        <v>120</v>
      </c>
      <c r="K38" s="5" t="s">
        <v>124</v>
      </c>
    </row>
    <row r="39" spans="1:11">
      <c r="A39" s="12" t="s">
        <v>159</v>
      </c>
      <c r="B39" s="5" t="s">
        <v>122</v>
      </c>
      <c r="C39" s="6" t="s">
        <v>120</v>
      </c>
      <c r="D39" s="6" t="s">
        <v>120</v>
      </c>
      <c r="E39" s="6" t="s">
        <v>120</v>
      </c>
      <c r="F39" s="6" t="s">
        <v>120</v>
      </c>
      <c r="G39" s="6" t="s">
        <v>120</v>
      </c>
      <c r="H39" s="6" t="s">
        <v>120</v>
      </c>
      <c r="I39" s="6" t="s">
        <v>120</v>
      </c>
      <c r="J39" s="6" t="s">
        <v>120</v>
      </c>
      <c r="K39" s="5" t="s">
        <v>124</v>
      </c>
    </row>
    <row r="40" spans="1:11">
      <c r="A40" s="12" t="s">
        <v>160</v>
      </c>
      <c r="B40" s="44" t="s">
        <v>127</v>
      </c>
      <c r="C40" s="6" t="s">
        <v>120</v>
      </c>
      <c r="D40" s="6" t="s">
        <v>120</v>
      </c>
      <c r="E40" s="6" t="s">
        <v>120</v>
      </c>
      <c r="F40" s="6" t="s">
        <v>120</v>
      </c>
      <c r="G40" s="6" t="s">
        <v>120</v>
      </c>
      <c r="H40" s="6" t="s">
        <v>120</v>
      </c>
      <c r="I40" s="6" t="s">
        <v>120</v>
      </c>
      <c r="J40" s="6" t="s">
        <v>120</v>
      </c>
      <c r="K40" s="5" t="s">
        <v>124</v>
      </c>
    </row>
    <row r="41" spans="1:11">
      <c r="A41" s="12" t="s">
        <v>161</v>
      </c>
      <c r="B41" s="44" t="s">
        <v>127</v>
      </c>
      <c r="C41" s="6" t="s">
        <v>120</v>
      </c>
      <c r="D41" s="6" t="s">
        <v>120</v>
      </c>
      <c r="E41" s="6" t="s">
        <v>120</v>
      </c>
      <c r="F41" s="6" t="s">
        <v>120</v>
      </c>
      <c r="G41" s="6" t="s">
        <v>120</v>
      </c>
      <c r="H41" s="6" t="s">
        <v>120</v>
      </c>
      <c r="I41" s="6" t="s">
        <v>120</v>
      </c>
      <c r="J41" s="6" t="s">
        <v>120</v>
      </c>
      <c r="K41" s="5" t="s">
        <v>124</v>
      </c>
    </row>
    <row r="42" spans="1:11">
      <c r="A42" s="12" t="s">
        <v>162</v>
      </c>
      <c r="B42" s="44" t="s">
        <v>127</v>
      </c>
      <c r="C42" s="6" t="s">
        <v>120</v>
      </c>
      <c r="D42" s="6" t="s">
        <v>120</v>
      </c>
      <c r="E42" s="6" t="s">
        <v>120</v>
      </c>
      <c r="F42" s="6" t="s">
        <v>120</v>
      </c>
      <c r="G42" s="6" t="s">
        <v>120</v>
      </c>
      <c r="H42" s="6" t="s">
        <v>120</v>
      </c>
      <c r="I42" s="6" t="s">
        <v>120</v>
      </c>
      <c r="J42" s="6" t="s">
        <v>120</v>
      </c>
      <c r="K42" s="5" t="s">
        <v>124</v>
      </c>
    </row>
    <row r="43" spans="1:11">
      <c r="A43" s="12" t="s">
        <v>163</v>
      </c>
      <c r="B43" s="44" t="s">
        <v>127</v>
      </c>
      <c r="C43" s="6" t="s">
        <v>120</v>
      </c>
      <c r="D43" s="6" t="s">
        <v>120</v>
      </c>
      <c r="E43" s="6" t="s">
        <v>120</v>
      </c>
      <c r="F43" s="6" t="s">
        <v>120</v>
      </c>
      <c r="G43" s="6" t="s">
        <v>120</v>
      </c>
      <c r="H43" s="6" t="s">
        <v>120</v>
      </c>
      <c r="I43" s="6" t="s">
        <v>120</v>
      </c>
      <c r="J43" s="6" t="s">
        <v>120</v>
      </c>
      <c r="K43" s="5" t="s">
        <v>124</v>
      </c>
    </row>
    <row r="44" spans="1:11">
      <c r="A44" s="12" t="s">
        <v>164</v>
      </c>
      <c r="B44" s="5" t="s">
        <v>122</v>
      </c>
      <c r="C44" s="6" t="s">
        <v>120</v>
      </c>
      <c r="D44" s="6" t="s">
        <v>120</v>
      </c>
      <c r="E44" s="6" t="s">
        <v>120</v>
      </c>
      <c r="F44" s="6" t="s">
        <v>120</v>
      </c>
      <c r="G44" s="6" t="s">
        <v>120</v>
      </c>
      <c r="H44" s="6" t="s">
        <v>120</v>
      </c>
      <c r="I44" s="6" t="s">
        <v>120</v>
      </c>
      <c r="J44" s="6" t="s">
        <v>120</v>
      </c>
      <c r="K44" s="5" t="s">
        <v>124</v>
      </c>
    </row>
    <row r="45" spans="1:11">
      <c r="A45" s="12" t="s">
        <v>165</v>
      </c>
      <c r="B45" s="44" t="s">
        <v>127</v>
      </c>
      <c r="C45" s="6" t="s">
        <v>120</v>
      </c>
      <c r="D45" s="6" t="s">
        <v>120</v>
      </c>
      <c r="E45" s="6" t="s">
        <v>120</v>
      </c>
      <c r="F45" s="6" t="s">
        <v>120</v>
      </c>
      <c r="G45" s="6" t="s">
        <v>120</v>
      </c>
      <c r="H45" s="6" t="s">
        <v>120</v>
      </c>
      <c r="I45" s="6" t="s">
        <v>120</v>
      </c>
      <c r="J45" s="6" t="s">
        <v>120</v>
      </c>
      <c r="K45" s="5" t="s">
        <v>124</v>
      </c>
    </row>
    <row r="46" spans="1:11">
      <c r="A46" s="12" t="s">
        <v>166</v>
      </c>
      <c r="B46" s="44" t="s">
        <v>127</v>
      </c>
      <c r="C46" s="6" t="s">
        <v>120</v>
      </c>
      <c r="D46" s="6" t="s">
        <v>120</v>
      </c>
      <c r="E46" s="6" t="s">
        <v>120</v>
      </c>
      <c r="F46" s="6" t="s">
        <v>120</v>
      </c>
      <c r="G46" s="6" t="s">
        <v>120</v>
      </c>
      <c r="H46" s="6" t="s">
        <v>120</v>
      </c>
      <c r="I46" s="6" t="s">
        <v>120</v>
      </c>
      <c r="J46" s="6" t="s">
        <v>120</v>
      </c>
      <c r="K46" s="5" t="s">
        <v>124</v>
      </c>
    </row>
    <row r="47" spans="1:11">
      <c r="A47" s="12" t="s">
        <v>167</v>
      </c>
      <c r="B47" s="5" t="s">
        <v>122</v>
      </c>
      <c r="C47" s="6" t="s">
        <v>120</v>
      </c>
      <c r="D47" s="6" t="s">
        <v>120</v>
      </c>
      <c r="E47" s="6" t="s">
        <v>120</v>
      </c>
      <c r="F47" s="6" t="s">
        <v>120</v>
      </c>
      <c r="G47" s="6" t="s">
        <v>120</v>
      </c>
      <c r="H47" s="6" t="s">
        <v>120</v>
      </c>
      <c r="I47" s="6" t="s">
        <v>120</v>
      </c>
      <c r="J47" s="6" t="s">
        <v>120</v>
      </c>
      <c r="K47" s="5" t="s">
        <v>124</v>
      </c>
    </row>
    <row r="48" spans="1:11">
      <c r="A48" s="12" t="s">
        <v>168</v>
      </c>
      <c r="B48" s="44" t="s">
        <v>127</v>
      </c>
      <c r="C48" s="6" t="s">
        <v>120</v>
      </c>
      <c r="D48" s="6" t="s">
        <v>120</v>
      </c>
      <c r="E48" s="6" t="s">
        <v>120</v>
      </c>
      <c r="F48" s="6" t="s">
        <v>120</v>
      </c>
      <c r="G48" s="6" t="s">
        <v>120</v>
      </c>
      <c r="H48" s="6" t="s">
        <v>120</v>
      </c>
      <c r="I48" s="6" t="s">
        <v>120</v>
      </c>
      <c r="J48" s="6" t="s">
        <v>120</v>
      </c>
      <c r="K48" s="5" t="s">
        <v>124</v>
      </c>
    </row>
    <row r="49" spans="1:11">
      <c r="A49" s="12" t="s">
        <v>169</v>
      </c>
      <c r="B49" s="5" t="s">
        <v>122</v>
      </c>
      <c r="C49" s="6" t="s">
        <v>120</v>
      </c>
      <c r="D49" s="6" t="s">
        <v>120</v>
      </c>
      <c r="E49" s="6" t="s">
        <v>120</v>
      </c>
      <c r="F49" s="6" t="s">
        <v>120</v>
      </c>
      <c r="G49" s="6" t="s">
        <v>120</v>
      </c>
      <c r="H49" s="6" t="s">
        <v>120</v>
      </c>
      <c r="I49" s="6" t="s">
        <v>120</v>
      </c>
      <c r="J49" s="6" t="s">
        <v>120</v>
      </c>
      <c r="K49" s="5" t="s">
        <v>124</v>
      </c>
    </row>
    <row r="50" spans="1:11">
      <c r="A50" s="12" t="s">
        <v>170</v>
      </c>
      <c r="B50" s="5" t="s">
        <v>122</v>
      </c>
      <c r="C50" s="6" t="s">
        <v>120</v>
      </c>
      <c r="D50" s="6" t="s">
        <v>120</v>
      </c>
      <c r="E50" s="6" t="s">
        <v>120</v>
      </c>
      <c r="F50" s="6" t="s">
        <v>120</v>
      </c>
      <c r="G50" s="6" t="s">
        <v>120</v>
      </c>
      <c r="H50" s="6" t="s">
        <v>120</v>
      </c>
      <c r="I50" s="6" t="s">
        <v>120</v>
      </c>
      <c r="J50" s="6" t="s">
        <v>120</v>
      </c>
      <c r="K50" s="5" t="s">
        <v>124</v>
      </c>
    </row>
    <row r="51" spans="1:11">
      <c r="A51" s="12" t="s">
        <v>171</v>
      </c>
      <c r="B51" s="44" t="s">
        <v>127</v>
      </c>
      <c r="C51" s="6" t="s">
        <v>120</v>
      </c>
      <c r="D51" s="6" t="s">
        <v>120</v>
      </c>
      <c r="E51" s="6" t="s">
        <v>120</v>
      </c>
      <c r="F51" s="6" t="s">
        <v>120</v>
      </c>
      <c r="G51" s="6" t="s">
        <v>120</v>
      </c>
      <c r="H51" s="6" t="s">
        <v>120</v>
      </c>
      <c r="I51" s="6" t="s">
        <v>120</v>
      </c>
      <c r="J51" s="6" t="s">
        <v>120</v>
      </c>
      <c r="K51" s="5" t="s">
        <v>124</v>
      </c>
    </row>
    <row r="52" spans="1:11">
      <c r="A52" s="12" t="s">
        <v>172</v>
      </c>
      <c r="B52" s="44" t="s">
        <v>127</v>
      </c>
      <c r="C52" s="6" t="s">
        <v>120</v>
      </c>
      <c r="D52" s="6" t="s">
        <v>120</v>
      </c>
      <c r="E52" s="6" t="s">
        <v>120</v>
      </c>
      <c r="F52" s="6" t="s">
        <v>120</v>
      </c>
      <c r="G52" s="6" t="s">
        <v>120</v>
      </c>
      <c r="H52" s="6" t="s">
        <v>120</v>
      </c>
      <c r="I52" s="6" t="s">
        <v>120</v>
      </c>
      <c r="J52" s="6" t="s">
        <v>120</v>
      </c>
      <c r="K52" s="5" t="s">
        <v>124</v>
      </c>
    </row>
    <row r="53" spans="1:11">
      <c r="A53" s="12" t="s">
        <v>173</v>
      </c>
      <c r="B53" s="5" t="s">
        <v>122</v>
      </c>
      <c r="C53" s="6" t="s">
        <v>120</v>
      </c>
      <c r="D53" s="6" t="s">
        <v>120</v>
      </c>
      <c r="E53" s="6" t="s">
        <v>120</v>
      </c>
      <c r="F53" s="43" t="s">
        <v>127</v>
      </c>
      <c r="G53" s="6" t="s">
        <v>120</v>
      </c>
      <c r="H53" s="6" t="s">
        <v>120</v>
      </c>
      <c r="I53" s="6" t="s">
        <v>120</v>
      </c>
      <c r="J53" s="6" t="s">
        <v>120</v>
      </c>
      <c r="K53" s="5" t="s">
        <v>124</v>
      </c>
    </row>
    <row r="54" spans="1:11">
      <c r="A54" s="12" t="s">
        <v>174</v>
      </c>
      <c r="B54" s="5" t="s">
        <v>122</v>
      </c>
      <c r="C54" s="6" t="s">
        <v>120</v>
      </c>
      <c r="D54" s="6" t="s">
        <v>120</v>
      </c>
      <c r="E54" s="6" t="s">
        <v>120</v>
      </c>
      <c r="F54" s="6" t="s">
        <v>120</v>
      </c>
      <c r="G54" s="6" t="s">
        <v>120</v>
      </c>
      <c r="H54" s="6" t="s">
        <v>120</v>
      </c>
      <c r="I54" s="6" t="s">
        <v>120</v>
      </c>
      <c r="J54" s="6" t="s">
        <v>120</v>
      </c>
      <c r="K54" s="5" t="s">
        <v>124</v>
      </c>
    </row>
    <row r="55" spans="1:11">
      <c r="A55" s="12" t="s">
        <v>175</v>
      </c>
      <c r="B55" s="44" t="s">
        <v>127</v>
      </c>
      <c r="C55" s="6" t="s">
        <v>120</v>
      </c>
      <c r="D55" s="6" t="s">
        <v>120</v>
      </c>
      <c r="E55" s="6" t="s">
        <v>120</v>
      </c>
      <c r="F55" s="6" t="s">
        <v>120</v>
      </c>
      <c r="G55" s="6" t="s">
        <v>120</v>
      </c>
      <c r="H55" s="6" t="s">
        <v>120</v>
      </c>
      <c r="I55" s="6" t="s">
        <v>120</v>
      </c>
      <c r="J55" s="6" t="s">
        <v>120</v>
      </c>
      <c r="K55" s="5" t="s">
        <v>124</v>
      </c>
    </row>
    <row r="56" spans="1:11">
      <c r="A56" s="12" t="s">
        <v>176</v>
      </c>
      <c r="B56" s="44" t="s">
        <v>127</v>
      </c>
      <c r="C56" s="6" t="s">
        <v>120</v>
      </c>
      <c r="D56" s="6" t="s">
        <v>120</v>
      </c>
      <c r="E56" s="6" t="s">
        <v>120</v>
      </c>
      <c r="F56" s="6" t="s">
        <v>120</v>
      </c>
      <c r="G56" s="6" t="s">
        <v>120</v>
      </c>
      <c r="H56" s="6" t="s">
        <v>120</v>
      </c>
      <c r="I56" s="6" t="s">
        <v>120</v>
      </c>
      <c r="J56" s="6" t="s">
        <v>120</v>
      </c>
      <c r="K56" s="5" t="s">
        <v>124</v>
      </c>
    </row>
    <row r="57" spans="1:11">
      <c r="A57" s="12" t="s">
        <v>177</v>
      </c>
      <c r="B57" s="5" t="s">
        <v>122</v>
      </c>
      <c r="C57" s="6" t="s">
        <v>120</v>
      </c>
      <c r="D57" s="6" t="s">
        <v>120</v>
      </c>
      <c r="E57" s="6" t="s">
        <v>120</v>
      </c>
      <c r="F57" s="6" t="s">
        <v>120</v>
      </c>
      <c r="G57" s="6" t="s">
        <v>120</v>
      </c>
      <c r="H57" s="6" t="s">
        <v>120</v>
      </c>
      <c r="I57" s="6" t="s">
        <v>120</v>
      </c>
      <c r="J57" s="6" t="s">
        <v>120</v>
      </c>
      <c r="K57" s="5" t="s">
        <v>124</v>
      </c>
    </row>
    <row r="58" spans="1:11">
      <c r="A58" s="12" t="s">
        <v>178</v>
      </c>
      <c r="B58" s="44" t="s">
        <v>127</v>
      </c>
      <c r="C58" s="6" t="s">
        <v>120</v>
      </c>
      <c r="D58" s="6" t="s">
        <v>120</v>
      </c>
      <c r="E58" s="6" t="s">
        <v>120</v>
      </c>
      <c r="F58" s="6" t="s">
        <v>120</v>
      </c>
      <c r="G58" s="6" t="s">
        <v>120</v>
      </c>
      <c r="H58" s="6" t="s">
        <v>120</v>
      </c>
      <c r="I58" s="6" t="s">
        <v>120</v>
      </c>
      <c r="J58" s="6" t="s">
        <v>120</v>
      </c>
      <c r="K58" s="5" t="s">
        <v>124</v>
      </c>
    </row>
    <row r="59" spans="1:11">
      <c r="A59" s="12" t="s">
        <v>179</v>
      </c>
      <c r="B59" s="44" t="s">
        <v>127</v>
      </c>
      <c r="C59" s="6" t="s">
        <v>120</v>
      </c>
      <c r="D59" s="6" t="s">
        <v>120</v>
      </c>
      <c r="E59" s="6" t="s">
        <v>120</v>
      </c>
      <c r="F59" s="6" t="s">
        <v>120</v>
      </c>
      <c r="G59" s="6" t="s">
        <v>120</v>
      </c>
      <c r="H59" s="6" t="s">
        <v>120</v>
      </c>
      <c r="I59" s="6" t="s">
        <v>120</v>
      </c>
      <c r="J59" s="6" t="s">
        <v>120</v>
      </c>
      <c r="K59" s="5" t="s">
        <v>124</v>
      </c>
    </row>
    <row r="60" spans="1:11">
      <c r="A60" s="12" t="s">
        <v>180</v>
      </c>
      <c r="B60" s="5" t="s">
        <v>122</v>
      </c>
      <c r="C60" s="6" t="s">
        <v>120</v>
      </c>
      <c r="D60" s="6" t="s">
        <v>120</v>
      </c>
      <c r="E60" s="6" t="s">
        <v>120</v>
      </c>
      <c r="F60" s="6" t="s">
        <v>120</v>
      </c>
      <c r="G60" s="6" t="s">
        <v>120</v>
      </c>
      <c r="H60" s="6" t="s">
        <v>120</v>
      </c>
      <c r="I60" s="6" t="s">
        <v>120</v>
      </c>
      <c r="J60" s="6" t="s">
        <v>120</v>
      </c>
      <c r="K60" s="5" t="s">
        <v>124</v>
      </c>
    </row>
    <row r="61" spans="1:11">
      <c r="A61" s="12" t="s">
        <v>181</v>
      </c>
      <c r="B61" s="5" t="s">
        <v>122</v>
      </c>
      <c r="C61" s="6" t="s">
        <v>120</v>
      </c>
      <c r="D61" s="6" t="s">
        <v>120</v>
      </c>
      <c r="E61" s="6" t="s">
        <v>120</v>
      </c>
      <c r="F61" s="6" t="s">
        <v>120</v>
      </c>
      <c r="G61" s="6" t="s">
        <v>120</v>
      </c>
      <c r="H61" s="6" t="s">
        <v>120</v>
      </c>
      <c r="I61" s="6" t="s">
        <v>120</v>
      </c>
      <c r="J61" s="6" t="s">
        <v>120</v>
      </c>
      <c r="K61" s="5" t="s">
        <v>124</v>
      </c>
    </row>
    <row r="62" spans="1:11">
      <c r="A62" s="12" t="s">
        <v>182</v>
      </c>
      <c r="B62" s="5" t="s">
        <v>122</v>
      </c>
      <c r="C62" s="6" t="s">
        <v>120</v>
      </c>
      <c r="D62" s="6" t="s">
        <v>120</v>
      </c>
      <c r="E62" s="6" t="s">
        <v>120</v>
      </c>
      <c r="F62" s="6" t="s">
        <v>120</v>
      </c>
      <c r="G62" s="44" t="s">
        <v>127</v>
      </c>
      <c r="H62" s="6" t="s">
        <v>120</v>
      </c>
      <c r="I62" s="6" t="s">
        <v>120</v>
      </c>
      <c r="J62" s="6" t="s">
        <v>120</v>
      </c>
      <c r="K62" s="5" t="s">
        <v>124</v>
      </c>
    </row>
    <row r="63" spans="1:11">
      <c r="A63" s="12" t="s">
        <v>183</v>
      </c>
      <c r="B63" s="5" t="s">
        <v>122</v>
      </c>
      <c r="C63" s="6" t="s">
        <v>120</v>
      </c>
      <c r="D63" s="6" t="s">
        <v>120</v>
      </c>
      <c r="E63" s="6" t="s">
        <v>120</v>
      </c>
      <c r="F63" s="6" t="s">
        <v>120</v>
      </c>
      <c r="G63" s="6" t="s">
        <v>120</v>
      </c>
      <c r="H63" s="6" t="s">
        <v>120</v>
      </c>
      <c r="I63" s="6" t="s">
        <v>120</v>
      </c>
      <c r="J63" s="6" t="s">
        <v>120</v>
      </c>
      <c r="K63" s="5" t="s">
        <v>124</v>
      </c>
    </row>
    <row r="64" spans="1:11">
      <c r="A64" s="12" t="s">
        <v>184</v>
      </c>
      <c r="B64" s="44" t="s">
        <v>127</v>
      </c>
      <c r="C64" s="6" t="s">
        <v>120</v>
      </c>
      <c r="D64" s="6" t="s">
        <v>120</v>
      </c>
      <c r="E64" s="6" t="s">
        <v>120</v>
      </c>
      <c r="F64" s="6" t="s">
        <v>120</v>
      </c>
      <c r="G64" s="6" t="s">
        <v>120</v>
      </c>
      <c r="H64" s="6" t="s">
        <v>120</v>
      </c>
      <c r="I64" s="6" t="s">
        <v>120</v>
      </c>
      <c r="J64" s="6" t="s">
        <v>120</v>
      </c>
      <c r="K64" s="5" t="s">
        <v>124</v>
      </c>
    </row>
    <row r="65" spans="1:11">
      <c r="A65" s="12" t="s">
        <v>185</v>
      </c>
      <c r="B65" s="44" t="s">
        <v>127</v>
      </c>
      <c r="C65" s="6" t="s">
        <v>120</v>
      </c>
      <c r="D65" s="6" t="s">
        <v>120</v>
      </c>
      <c r="E65" s="6" t="s">
        <v>120</v>
      </c>
      <c r="F65" s="6" t="s">
        <v>120</v>
      </c>
      <c r="G65" s="6" t="s">
        <v>120</v>
      </c>
      <c r="H65" s="6" t="s">
        <v>120</v>
      </c>
      <c r="I65" s="6" t="s">
        <v>120</v>
      </c>
      <c r="J65" s="6" t="s">
        <v>120</v>
      </c>
      <c r="K65" s="5" t="s">
        <v>124</v>
      </c>
    </row>
    <row r="66" spans="1:11">
      <c r="A66" s="12" t="s">
        <v>186</v>
      </c>
      <c r="B66" s="5" t="s">
        <v>122</v>
      </c>
      <c r="C66" s="6" t="s">
        <v>120</v>
      </c>
      <c r="D66" s="6" t="s">
        <v>120</v>
      </c>
      <c r="E66" s="6" t="s">
        <v>120</v>
      </c>
      <c r="F66" s="6" t="s">
        <v>120</v>
      </c>
      <c r="G66" s="6" t="s">
        <v>120</v>
      </c>
      <c r="H66" s="6" t="s">
        <v>120</v>
      </c>
      <c r="I66" s="6" t="s">
        <v>120</v>
      </c>
      <c r="J66" s="6" t="s">
        <v>120</v>
      </c>
      <c r="K66" s="5" t="s">
        <v>124</v>
      </c>
    </row>
    <row r="67" spans="1:11">
      <c r="A67" s="12" t="s">
        <v>187</v>
      </c>
      <c r="B67" s="44" t="s">
        <v>127</v>
      </c>
      <c r="C67" s="6" t="s">
        <v>120</v>
      </c>
      <c r="D67" s="6" t="s">
        <v>120</v>
      </c>
      <c r="E67" s="6" t="s">
        <v>120</v>
      </c>
      <c r="F67" s="6" t="s">
        <v>120</v>
      </c>
      <c r="G67" s="6" t="s">
        <v>120</v>
      </c>
      <c r="H67" s="6" t="s">
        <v>120</v>
      </c>
      <c r="I67" s="6" t="s">
        <v>120</v>
      </c>
      <c r="J67" s="6" t="s">
        <v>120</v>
      </c>
      <c r="K67" s="5" t="s">
        <v>124</v>
      </c>
    </row>
    <row r="68" spans="1:11">
      <c r="A68" s="12" t="s">
        <v>188</v>
      </c>
      <c r="B68" s="44" t="s">
        <v>127</v>
      </c>
      <c r="C68" s="6" t="s">
        <v>120</v>
      </c>
      <c r="D68" s="6" t="s">
        <v>120</v>
      </c>
      <c r="E68" s="6" t="s">
        <v>120</v>
      </c>
      <c r="F68" s="6" t="s">
        <v>120</v>
      </c>
      <c r="G68" s="6" t="s">
        <v>120</v>
      </c>
      <c r="H68" s="6" t="s">
        <v>120</v>
      </c>
      <c r="I68" s="6" t="s">
        <v>120</v>
      </c>
      <c r="J68" s="6" t="s">
        <v>120</v>
      </c>
      <c r="K68" s="5" t="s">
        <v>124</v>
      </c>
    </row>
    <row r="69" spans="1:11">
      <c r="A69" s="12" t="s">
        <v>189</v>
      </c>
      <c r="B69" s="44" t="s">
        <v>127</v>
      </c>
      <c r="C69" s="6" t="s">
        <v>120</v>
      </c>
      <c r="D69" s="6" t="s">
        <v>120</v>
      </c>
      <c r="E69" s="6" t="s">
        <v>120</v>
      </c>
      <c r="F69" s="6" t="s">
        <v>120</v>
      </c>
      <c r="G69" s="6" t="s">
        <v>120</v>
      </c>
      <c r="H69" s="6" t="s">
        <v>120</v>
      </c>
      <c r="I69" s="6" t="s">
        <v>120</v>
      </c>
      <c r="J69" s="6" t="s">
        <v>120</v>
      </c>
      <c r="K69" s="5" t="s">
        <v>124</v>
      </c>
    </row>
    <row r="70" spans="1:11">
      <c r="A70" s="12" t="s">
        <v>190</v>
      </c>
      <c r="B70" s="44" t="s">
        <v>127</v>
      </c>
      <c r="C70" s="6" t="s">
        <v>120</v>
      </c>
      <c r="D70" s="6" t="s">
        <v>120</v>
      </c>
      <c r="E70" s="6" t="s">
        <v>120</v>
      </c>
      <c r="F70" s="6" t="s">
        <v>120</v>
      </c>
      <c r="G70" s="6" t="s">
        <v>120</v>
      </c>
      <c r="H70" s="6" t="s">
        <v>120</v>
      </c>
      <c r="I70" s="6" t="s">
        <v>120</v>
      </c>
      <c r="J70" s="6" t="s">
        <v>120</v>
      </c>
      <c r="K70" s="5" t="s">
        <v>124</v>
      </c>
    </row>
    <row r="71" spans="1:11">
      <c r="A71" s="12" t="s">
        <v>191</v>
      </c>
      <c r="B71" s="44" t="s">
        <v>127</v>
      </c>
      <c r="C71" s="6" t="s">
        <v>120</v>
      </c>
      <c r="D71" s="6" t="s">
        <v>120</v>
      </c>
      <c r="E71" s="6" t="s">
        <v>120</v>
      </c>
      <c r="F71" s="6" t="s">
        <v>120</v>
      </c>
      <c r="G71" s="6" t="s">
        <v>120</v>
      </c>
      <c r="H71" s="6" t="s">
        <v>120</v>
      </c>
      <c r="I71" s="6" t="s">
        <v>120</v>
      </c>
      <c r="J71" s="6" t="s">
        <v>120</v>
      </c>
      <c r="K71" s="5" t="s">
        <v>124</v>
      </c>
    </row>
    <row r="72" spans="1:11">
      <c r="A72" s="12" t="s">
        <v>192</v>
      </c>
      <c r="B72" s="44" t="s">
        <v>127</v>
      </c>
      <c r="C72" s="6" t="s">
        <v>120</v>
      </c>
      <c r="D72" s="6" t="s">
        <v>120</v>
      </c>
      <c r="E72" s="6" t="s">
        <v>120</v>
      </c>
      <c r="F72" s="6" t="s">
        <v>120</v>
      </c>
      <c r="G72" s="6" t="s">
        <v>120</v>
      </c>
      <c r="H72" s="6" t="s">
        <v>120</v>
      </c>
      <c r="I72" s="6" t="s">
        <v>120</v>
      </c>
      <c r="J72" s="6" t="s">
        <v>120</v>
      </c>
      <c r="K72" s="5" t="s">
        <v>124</v>
      </c>
    </row>
    <row r="73" spans="1:11">
      <c r="A73" s="12" t="s">
        <v>193</v>
      </c>
      <c r="B73" s="44" t="s">
        <v>127</v>
      </c>
      <c r="C73" s="6" t="s">
        <v>120</v>
      </c>
      <c r="D73" s="6" t="s">
        <v>120</v>
      </c>
      <c r="E73" s="6" t="s">
        <v>120</v>
      </c>
      <c r="F73" s="6" t="s">
        <v>120</v>
      </c>
      <c r="G73" s="6" t="s">
        <v>120</v>
      </c>
      <c r="H73" s="6" t="s">
        <v>120</v>
      </c>
      <c r="I73" s="6" t="s">
        <v>120</v>
      </c>
      <c r="J73" s="6" t="s">
        <v>120</v>
      </c>
      <c r="K73" s="5" t="s">
        <v>124</v>
      </c>
    </row>
    <row r="74" spans="1:11">
      <c r="A74" s="12" t="s">
        <v>194</v>
      </c>
      <c r="B74" s="5" t="s">
        <v>122</v>
      </c>
      <c r="C74" s="6" t="s">
        <v>120</v>
      </c>
      <c r="D74" s="6" t="s">
        <v>120</v>
      </c>
      <c r="E74" s="6" t="s">
        <v>120</v>
      </c>
      <c r="F74" s="6" t="s">
        <v>120</v>
      </c>
      <c r="G74" s="6" t="s">
        <v>120</v>
      </c>
      <c r="H74" s="6" t="s">
        <v>120</v>
      </c>
      <c r="I74" s="6" t="s">
        <v>120</v>
      </c>
      <c r="J74" s="6" t="s">
        <v>120</v>
      </c>
      <c r="K74" s="5" t="s">
        <v>124</v>
      </c>
    </row>
    <row r="75" spans="1:11">
      <c r="A75" s="12" t="s">
        <v>195</v>
      </c>
      <c r="B75" s="5" t="s">
        <v>122</v>
      </c>
      <c r="C75" s="6" t="s">
        <v>120</v>
      </c>
      <c r="D75" s="6" t="s">
        <v>120</v>
      </c>
      <c r="E75" s="6" t="s">
        <v>120</v>
      </c>
      <c r="F75" s="6" t="s">
        <v>120</v>
      </c>
      <c r="G75" s="6" t="s">
        <v>120</v>
      </c>
      <c r="H75" s="6" t="s">
        <v>120</v>
      </c>
      <c r="I75" s="6" t="s">
        <v>120</v>
      </c>
      <c r="J75" s="6" t="s">
        <v>120</v>
      </c>
      <c r="K75" s="5" t="s">
        <v>124</v>
      </c>
    </row>
    <row r="76" spans="1:11">
      <c r="A76" s="12" t="s">
        <v>196</v>
      </c>
      <c r="B76" s="5" t="s">
        <v>122</v>
      </c>
      <c r="C76" s="6" t="s">
        <v>120</v>
      </c>
      <c r="D76" s="6" t="s">
        <v>120</v>
      </c>
      <c r="E76" s="6" t="s">
        <v>120</v>
      </c>
      <c r="F76" s="6" t="s">
        <v>120</v>
      </c>
      <c r="G76" s="6" t="s">
        <v>120</v>
      </c>
      <c r="H76" s="6" t="s">
        <v>120</v>
      </c>
      <c r="I76" s="6" t="s">
        <v>120</v>
      </c>
      <c r="J76" s="6" t="s">
        <v>120</v>
      </c>
      <c r="K76" s="5" t="s">
        <v>124</v>
      </c>
    </row>
    <row r="77" spans="1:11">
      <c r="A77" s="12" t="s">
        <v>197</v>
      </c>
      <c r="B77" s="5" t="s">
        <v>122</v>
      </c>
      <c r="C77" s="6" t="s">
        <v>120</v>
      </c>
      <c r="D77" s="6" t="s">
        <v>120</v>
      </c>
      <c r="E77" s="6" t="s">
        <v>120</v>
      </c>
      <c r="F77" s="6" t="s">
        <v>120</v>
      </c>
      <c r="G77" s="6" t="s">
        <v>120</v>
      </c>
      <c r="H77" s="6" t="s">
        <v>120</v>
      </c>
      <c r="I77" s="6" t="s">
        <v>120</v>
      </c>
      <c r="J77" s="6" t="s">
        <v>120</v>
      </c>
      <c r="K77" s="5" t="s">
        <v>124</v>
      </c>
    </row>
    <row r="78" spans="1:11">
      <c r="A78" s="12" t="s">
        <v>198</v>
      </c>
      <c r="B78" s="44" t="s">
        <v>127</v>
      </c>
      <c r="C78" s="6" t="s">
        <v>120</v>
      </c>
      <c r="D78" s="6" t="s">
        <v>120</v>
      </c>
      <c r="E78" s="6" t="s">
        <v>120</v>
      </c>
      <c r="F78" s="6" t="s">
        <v>120</v>
      </c>
      <c r="G78" s="6" t="s">
        <v>120</v>
      </c>
      <c r="H78" s="6" t="s">
        <v>120</v>
      </c>
      <c r="I78" s="6" t="s">
        <v>120</v>
      </c>
      <c r="J78" s="6" t="s">
        <v>120</v>
      </c>
      <c r="K78" s="5" t="s">
        <v>124</v>
      </c>
    </row>
    <row r="79" spans="1:11">
      <c r="A79" s="12" t="s">
        <v>199</v>
      </c>
      <c r="B79" s="44" t="s">
        <v>127</v>
      </c>
      <c r="C79" s="6" t="s">
        <v>120</v>
      </c>
      <c r="D79" s="6" t="s">
        <v>120</v>
      </c>
      <c r="E79" s="6" t="s">
        <v>120</v>
      </c>
      <c r="F79" s="6" t="s">
        <v>120</v>
      </c>
      <c r="G79" s="6" t="s">
        <v>120</v>
      </c>
      <c r="H79" s="6" t="s">
        <v>120</v>
      </c>
      <c r="I79" s="6" t="s">
        <v>120</v>
      </c>
      <c r="J79" s="6" t="s">
        <v>120</v>
      </c>
      <c r="K79" s="5" t="s">
        <v>124</v>
      </c>
    </row>
    <row r="80" spans="1:11">
      <c r="A80" s="12" t="s">
        <v>200</v>
      </c>
      <c r="B80" s="5" t="s">
        <v>122</v>
      </c>
      <c r="C80" s="6" t="s">
        <v>120</v>
      </c>
      <c r="D80" s="6" t="s">
        <v>120</v>
      </c>
      <c r="E80" s="6" t="s">
        <v>120</v>
      </c>
      <c r="F80" s="6" t="s">
        <v>120</v>
      </c>
      <c r="G80" s="6" t="s">
        <v>120</v>
      </c>
      <c r="H80" s="43" t="s">
        <v>127</v>
      </c>
      <c r="I80" s="6" t="s">
        <v>120</v>
      </c>
      <c r="J80" s="6" t="s">
        <v>120</v>
      </c>
      <c r="K80" s="5" t="s">
        <v>124</v>
      </c>
    </row>
    <row r="81" spans="1:11">
      <c r="A81" s="12" t="s">
        <v>201</v>
      </c>
      <c r="B81" s="5" t="s">
        <v>122</v>
      </c>
      <c r="C81" s="6" t="s">
        <v>120</v>
      </c>
      <c r="D81" s="6" t="s">
        <v>120</v>
      </c>
      <c r="E81" s="6" t="s">
        <v>120</v>
      </c>
      <c r="F81" s="6" t="s">
        <v>120</v>
      </c>
      <c r="G81" s="6" t="s">
        <v>120</v>
      </c>
      <c r="H81" s="6" t="s">
        <v>120</v>
      </c>
      <c r="I81" s="6" t="s">
        <v>120</v>
      </c>
      <c r="J81" s="6" t="s">
        <v>120</v>
      </c>
      <c r="K81" s="5" t="s">
        <v>124</v>
      </c>
    </row>
    <row r="82" spans="1:11">
      <c r="A82" s="12" t="s">
        <v>202</v>
      </c>
      <c r="B82" s="44" t="s">
        <v>127</v>
      </c>
      <c r="C82" s="6" t="s">
        <v>120</v>
      </c>
      <c r="D82" s="6" t="s">
        <v>120</v>
      </c>
      <c r="E82" s="6" t="s">
        <v>120</v>
      </c>
      <c r="F82" s="6" t="s">
        <v>120</v>
      </c>
      <c r="G82" s="6" t="s">
        <v>120</v>
      </c>
      <c r="H82" s="6" t="s">
        <v>120</v>
      </c>
      <c r="I82" s="6" t="s">
        <v>120</v>
      </c>
      <c r="J82" s="6" t="s">
        <v>120</v>
      </c>
      <c r="K82" s="5" t="s">
        <v>124</v>
      </c>
    </row>
    <row r="83" spans="1:11">
      <c r="A83" s="12" t="s">
        <v>203</v>
      </c>
      <c r="B83" s="5" t="s">
        <v>122</v>
      </c>
      <c r="C83" s="6" t="s">
        <v>120</v>
      </c>
      <c r="D83" s="6" t="s">
        <v>120</v>
      </c>
      <c r="E83" s="6" t="s">
        <v>120</v>
      </c>
      <c r="F83" s="6" t="s">
        <v>120</v>
      </c>
      <c r="G83" s="6" t="s">
        <v>120</v>
      </c>
      <c r="H83" s="6" t="s">
        <v>120</v>
      </c>
      <c r="I83" s="6" t="s">
        <v>120</v>
      </c>
      <c r="J83" s="6" t="s">
        <v>120</v>
      </c>
      <c r="K83" s="5" t="s">
        <v>124</v>
      </c>
    </row>
    <row r="84" spans="1:11">
      <c r="A84" s="12" t="s">
        <v>204</v>
      </c>
      <c r="B84" s="5" t="s">
        <v>122</v>
      </c>
      <c r="C84" s="6" t="s">
        <v>120</v>
      </c>
      <c r="D84" s="6" t="s">
        <v>120</v>
      </c>
      <c r="E84" s="6" t="s">
        <v>120</v>
      </c>
      <c r="F84" s="6" t="s">
        <v>120</v>
      </c>
      <c r="G84" s="6" t="s">
        <v>120</v>
      </c>
      <c r="H84" s="6" t="s">
        <v>120</v>
      </c>
      <c r="I84" s="6" t="s">
        <v>120</v>
      </c>
      <c r="J84" s="6" t="s">
        <v>120</v>
      </c>
      <c r="K84" s="5" t="s">
        <v>124</v>
      </c>
    </row>
    <row r="85" spans="1:11">
      <c r="A85" s="12" t="s">
        <v>205</v>
      </c>
      <c r="B85" s="5" t="s">
        <v>122</v>
      </c>
      <c r="C85" s="6" t="s">
        <v>120</v>
      </c>
      <c r="D85" s="6" t="s">
        <v>120</v>
      </c>
      <c r="E85" s="6" t="s">
        <v>120</v>
      </c>
      <c r="F85" s="6" t="s">
        <v>120</v>
      </c>
      <c r="G85" s="6" t="s">
        <v>120</v>
      </c>
      <c r="H85" s="6" t="s">
        <v>120</v>
      </c>
      <c r="I85" s="6" t="s">
        <v>120</v>
      </c>
      <c r="J85" s="6" t="s">
        <v>120</v>
      </c>
      <c r="K85" s="5" t="s">
        <v>124</v>
      </c>
    </row>
    <row r="86" spans="1:11">
      <c r="A86" s="12" t="s">
        <v>206</v>
      </c>
      <c r="B86" s="5" t="s">
        <v>122</v>
      </c>
      <c r="C86" s="6" t="s">
        <v>120</v>
      </c>
      <c r="D86" s="6" t="s">
        <v>120</v>
      </c>
      <c r="E86" s="6" t="s">
        <v>120</v>
      </c>
      <c r="F86" s="6" t="s">
        <v>120</v>
      </c>
      <c r="G86" s="6" t="s">
        <v>120</v>
      </c>
      <c r="H86" s="6" t="s">
        <v>120</v>
      </c>
      <c r="I86" s="6" t="s">
        <v>120</v>
      </c>
      <c r="J86" s="6" t="s">
        <v>120</v>
      </c>
      <c r="K86" s="5" t="s">
        <v>124</v>
      </c>
    </row>
    <row r="87" spans="1:11">
      <c r="A87" s="12" t="s">
        <v>207</v>
      </c>
      <c r="B87" s="44" t="s">
        <v>127</v>
      </c>
      <c r="C87" s="6" t="s">
        <v>120</v>
      </c>
      <c r="D87" s="6" t="s">
        <v>120</v>
      </c>
      <c r="E87" s="6" t="s">
        <v>120</v>
      </c>
      <c r="F87" s="6" t="s">
        <v>120</v>
      </c>
      <c r="G87" s="6" t="s">
        <v>120</v>
      </c>
      <c r="H87" s="6" t="s">
        <v>120</v>
      </c>
      <c r="I87" s="6" t="s">
        <v>120</v>
      </c>
      <c r="J87" s="6" t="s">
        <v>120</v>
      </c>
      <c r="K87" s="5" t="s">
        <v>124</v>
      </c>
    </row>
    <row r="88" spans="1:11">
      <c r="A88" s="12" t="s">
        <v>208</v>
      </c>
      <c r="B88" s="5" t="s">
        <v>122</v>
      </c>
      <c r="C88" s="6" t="s">
        <v>120</v>
      </c>
      <c r="D88" s="43" t="s">
        <v>127</v>
      </c>
      <c r="E88" s="6" t="s">
        <v>120</v>
      </c>
      <c r="F88" s="6" t="s">
        <v>120</v>
      </c>
      <c r="G88" s="6" t="s">
        <v>120</v>
      </c>
      <c r="H88" s="6" t="s">
        <v>120</v>
      </c>
      <c r="I88" s="6" t="s">
        <v>120</v>
      </c>
      <c r="J88" s="6" t="s">
        <v>120</v>
      </c>
      <c r="K88" s="5" t="s">
        <v>124</v>
      </c>
    </row>
    <row r="89" spans="1:11">
      <c r="A89" s="12" t="s">
        <v>209</v>
      </c>
      <c r="B89" s="5" t="s">
        <v>122</v>
      </c>
      <c r="C89" s="6" t="s">
        <v>120</v>
      </c>
      <c r="D89" s="6" t="s">
        <v>120</v>
      </c>
      <c r="E89" s="6" t="s">
        <v>120</v>
      </c>
      <c r="F89" s="6" t="s">
        <v>120</v>
      </c>
      <c r="G89" s="6" t="s">
        <v>120</v>
      </c>
      <c r="H89" s="6" t="s">
        <v>120</v>
      </c>
      <c r="I89" s="6" t="s">
        <v>120</v>
      </c>
      <c r="J89" s="6" t="s">
        <v>120</v>
      </c>
      <c r="K89" s="5" t="s">
        <v>124</v>
      </c>
    </row>
    <row r="90" spans="1:11">
      <c r="A90" s="12" t="s">
        <v>210</v>
      </c>
      <c r="B90" s="5" t="s">
        <v>122</v>
      </c>
      <c r="C90" s="6" t="s">
        <v>120</v>
      </c>
      <c r="D90" s="6" t="s">
        <v>120</v>
      </c>
      <c r="E90" s="6" t="s">
        <v>120</v>
      </c>
      <c r="F90" s="6" t="s">
        <v>120</v>
      </c>
      <c r="G90" s="6" t="s">
        <v>120</v>
      </c>
      <c r="H90" s="6" t="s">
        <v>120</v>
      </c>
      <c r="I90" s="6" t="s">
        <v>120</v>
      </c>
      <c r="J90" s="6" t="s">
        <v>120</v>
      </c>
      <c r="K90" s="5" t="s">
        <v>124</v>
      </c>
    </row>
    <row r="91" spans="1:11">
      <c r="A91" s="12" t="s">
        <v>211</v>
      </c>
      <c r="B91" s="44" t="s">
        <v>127</v>
      </c>
      <c r="C91" s="6" t="s">
        <v>120</v>
      </c>
      <c r="D91" s="6" t="s">
        <v>120</v>
      </c>
      <c r="E91" s="6" t="s">
        <v>120</v>
      </c>
      <c r="F91" s="6" t="s">
        <v>120</v>
      </c>
      <c r="G91" s="6" t="s">
        <v>120</v>
      </c>
      <c r="H91" s="6" t="s">
        <v>120</v>
      </c>
      <c r="I91" s="6" t="s">
        <v>120</v>
      </c>
      <c r="J91" s="6" t="s">
        <v>120</v>
      </c>
      <c r="K91" s="5" t="s">
        <v>124</v>
      </c>
    </row>
    <row r="92" spans="1:11">
      <c r="A92" s="12" t="s">
        <v>212</v>
      </c>
      <c r="B92" s="44" t="s">
        <v>127</v>
      </c>
      <c r="C92" s="6" t="s">
        <v>120</v>
      </c>
      <c r="D92" s="6" t="s">
        <v>120</v>
      </c>
      <c r="E92" s="6" t="s">
        <v>120</v>
      </c>
      <c r="F92" s="6" t="s">
        <v>120</v>
      </c>
      <c r="G92" s="6" t="s">
        <v>120</v>
      </c>
      <c r="H92" s="6" t="s">
        <v>120</v>
      </c>
      <c r="I92" s="6" t="s">
        <v>120</v>
      </c>
      <c r="J92" s="6" t="s">
        <v>120</v>
      </c>
      <c r="K92" s="5" t="s">
        <v>124</v>
      </c>
    </row>
    <row r="93" spans="1:11">
      <c r="A93" s="12" t="s">
        <v>213</v>
      </c>
      <c r="B93" s="5" t="s">
        <v>122</v>
      </c>
      <c r="C93" s="6" t="s">
        <v>120</v>
      </c>
      <c r="D93" s="6" t="s">
        <v>120</v>
      </c>
      <c r="E93" s="6" t="s">
        <v>120</v>
      </c>
      <c r="F93" s="6" t="s">
        <v>120</v>
      </c>
      <c r="G93" s="6" t="s">
        <v>120</v>
      </c>
      <c r="H93" s="6" t="s">
        <v>120</v>
      </c>
      <c r="I93" s="6" t="s">
        <v>120</v>
      </c>
      <c r="J93" s="6" t="s">
        <v>120</v>
      </c>
      <c r="K93" s="5" t="s">
        <v>124</v>
      </c>
    </row>
    <row r="94" spans="1:11">
      <c r="A94" s="12" t="s">
        <v>214</v>
      </c>
      <c r="B94" s="5" t="s">
        <v>122</v>
      </c>
      <c r="C94" s="6" t="s">
        <v>120</v>
      </c>
      <c r="D94" s="6" t="s">
        <v>120</v>
      </c>
      <c r="E94" s="6" t="s">
        <v>120</v>
      </c>
      <c r="F94" s="6" t="s">
        <v>120</v>
      </c>
      <c r="G94" s="6" t="s">
        <v>120</v>
      </c>
      <c r="H94" s="6" t="s">
        <v>120</v>
      </c>
      <c r="I94" s="6" t="s">
        <v>120</v>
      </c>
      <c r="J94" s="6" t="s">
        <v>120</v>
      </c>
      <c r="K94" s="5" t="s">
        <v>124</v>
      </c>
    </row>
    <row r="95" spans="1:11">
      <c r="A95" s="12" t="s">
        <v>215</v>
      </c>
      <c r="B95" s="5" t="s">
        <v>122</v>
      </c>
      <c r="C95" s="6" t="s">
        <v>120</v>
      </c>
      <c r="D95" s="6" t="s">
        <v>120</v>
      </c>
      <c r="E95" s="6" t="s">
        <v>120</v>
      </c>
      <c r="F95" s="6" t="s">
        <v>120</v>
      </c>
      <c r="G95" s="6" t="s">
        <v>120</v>
      </c>
      <c r="H95" s="6" t="s">
        <v>120</v>
      </c>
      <c r="I95" s="6" t="s">
        <v>120</v>
      </c>
      <c r="J95" s="6" t="s">
        <v>120</v>
      </c>
      <c r="K95" s="5" t="s">
        <v>124</v>
      </c>
    </row>
    <row r="96" spans="1:11">
      <c r="A96" s="12" t="s">
        <v>216</v>
      </c>
      <c r="B96" s="5" t="s">
        <v>122</v>
      </c>
      <c r="C96" s="6" t="s">
        <v>120</v>
      </c>
      <c r="D96" s="6" t="s">
        <v>120</v>
      </c>
      <c r="E96" s="6" t="s">
        <v>120</v>
      </c>
      <c r="F96" s="6" t="s">
        <v>120</v>
      </c>
      <c r="G96" s="6" t="s">
        <v>120</v>
      </c>
      <c r="H96" s="6" t="s">
        <v>120</v>
      </c>
      <c r="I96" s="6" t="s">
        <v>120</v>
      </c>
      <c r="J96" s="6" t="s">
        <v>120</v>
      </c>
      <c r="K96" s="5" t="s">
        <v>124</v>
      </c>
    </row>
    <row r="97" spans="1:11">
      <c r="A97" s="12" t="s">
        <v>217</v>
      </c>
      <c r="B97" s="44" t="s">
        <v>127</v>
      </c>
      <c r="C97" s="6" t="s">
        <v>120</v>
      </c>
      <c r="D97" s="6" t="s">
        <v>120</v>
      </c>
      <c r="E97" s="6" t="s">
        <v>120</v>
      </c>
      <c r="F97" s="6" t="s">
        <v>120</v>
      </c>
      <c r="G97" s="6" t="s">
        <v>120</v>
      </c>
      <c r="H97" s="6" t="s">
        <v>120</v>
      </c>
      <c r="I97" s="6" t="s">
        <v>120</v>
      </c>
      <c r="J97" s="6" t="s">
        <v>120</v>
      </c>
      <c r="K97" s="5" t="s">
        <v>124</v>
      </c>
    </row>
    <row r="98" spans="1:11">
      <c r="A98" s="12" t="s">
        <v>218</v>
      </c>
      <c r="B98" s="44" t="s">
        <v>127</v>
      </c>
      <c r="C98" s="6" t="s">
        <v>120</v>
      </c>
      <c r="D98" s="6" t="s">
        <v>120</v>
      </c>
      <c r="E98" s="6" t="s">
        <v>120</v>
      </c>
      <c r="F98" s="6" t="s">
        <v>120</v>
      </c>
      <c r="G98" s="6" t="s">
        <v>120</v>
      </c>
      <c r="H98" s="6" t="s">
        <v>120</v>
      </c>
      <c r="I98" s="6" t="s">
        <v>120</v>
      </c>
      <c r="J98" s="6" t="s">
        <v>120</v>
      </c>
      <c r="K98" s="5" t="s">
        <v>124</v>
      </c>
    </row>
    <row r="99" spans="1:11">
      <c r="A99" s="12" t="s">
        <v>219</v>
      </c>
      <c r="B99" s="5" t="s">
        <v>122</v>
      </c>
      <c r="C99" s="6" t="s">
        <v>120</v>
      </c>
      <c r="D99" s="6" t="s">
        <v>120</v>
      </c>
      <c r="E99" s="6" t="s">
        <v>120</v>
      </c>
      <c r="F99" s="6" t="s">
        <v>120</v>
      </c>
      <c r="G99" s="6" t="s">
        <v>120</v>
      </c>
      <c r="H99" s="6" t="s">
        <v>120</v>
      </c>
      <c r="I99" s="6" t="s">
        <v>120</v>
      </c>
      <c r="J99" s="6" t="s">
        <v>120</v>
      </c>
      <c r="K99" s="5" t="s">
        <v>124</v>
      </c>
    </row>
    <row r="100" spans="1:11">
      <c r="A100" s="12" t="s">
        <v>220</v>
      </c>
      <c r="B100" s="44" t="s">
        <v>127</v>
      </c>
      <c r="C100" s="6" t="s">
        <v>120</v>
      </c>
      <c r="D100" s="6" t="s">
        <v>120</v>
      </c>
      <c r="E100" s="6" t="s">
        <v>120</v>
      </c>
      <c r="F100" s="6" t="s">
        <v>120</v>
      </c>
      <c r="G100" s="6" t="s">
        <v>120</v>
      </c>
      <c r="H100" s="6" t="s">
        <v>120</v>
      </c>
      <c r="I100" s="6" t="s">
        <v>120</v>
      </c>
      <c r="J100" s="6" t="s">
        <v>120</v>
      </c>
      <c r="K100" s="5" t="s">
        <v>124</v>
      </c>
    </row>
    <row r="101" spans="1:11">
      <c r="A101" s="12" t="s">
        <v>221</v>
      </c>
      <c r="B101" s="44" t="s">
        <v>127</v>
      </c>
      <c r="C101" s="6" t="s">
        <v>120</v>
      </c>
      <c r="D101" s="6" t="s">
        <v>120</v>
      </c>
      <c r="E101" s="6" t="s">
        <v>120</v>
      </c>
      <c r="F101" s="6" t="s">
        <v>120</v>
      </c>
      <c r="G101" s="6" t="s">
        <v>120</v>
      </c>
      <c r="H101" s="6" t="s">
        <v>120</v>
      </c>
      <c r="I101" s="6" t="s">
        <v>120</v>
      </c>
      <c r="J101" s="6" t="s">
        <v>120</v>
      </c>
      <c r="K101" s="5" t="s">
        <v>124</v>
      </c>
    </row>
    <row r="102" spans="1:11">
      <c r="A102" s="12" t="s">
        <v>222</v>
      </c>
      <c r="B102" s="5" t="s">
        <v>122</v>
      </c>
      <c r="C102" s="6" t="s">
        <v>120</v>
      </c>
      <c r="D102" s="6" t="s">
        <v>120</v>
      </c>
      <c r="E102" s="6" t="s">
        <v>120</v>
      </c>
      <c r="F102" s="6" t="s">
        <v>120</v>
      </c>
      <c r="G102" s="6" t="s">
        <v>120</v>
      </c>
      <c r="H102" s="6" t="s">
        <v>120</v>
      </c>
      <c r="I102" s="6" t="s">
        <v>120</v>
      </c>
      <c r="J102" s="6" t="s">
        <v>120</v>
      </c>
      <c r="K102" s="5" t="s">
        <v>124</v>
      </c>
    </row>
    <row r="103" spans="1:11">
      <c r="A103" s="12" t="s">
        <v>223</v>
      </c>
      <c r="B103" s="5" t="s">
        <v>122</v>
      </c>
      <c r="C103" s="6" t="s">
        <v>120</v>
      </c>
      <c r="D103" s="6" t="s">
        <v>120</v>
      </c>
      <c r="E103" s="6" t="s">
        <v>120</v>
      </c>
      <c r="F103" s="6" t="s">
        <v>120</v>
      </c>
      <c r="G103" s="6" t="s">
        <v>120</v>
      </c>
      <c r="H103" s="6" t="s">
        <v>120</v>
      </c>
      <c r="I103" s="6" t="s">
        <v>120</v>
      </c>
      <c r="J103" s="6" t="s">
        <v>120</v>
      </c>
      <c r="K103" s="5" t="s">
        <v>124</v>
      </c>
    </row>
    <row r="104" spans="1:11">
      <c r="A104" s="12" t="s">
        <v>224</v>
      </c>
      <c r="B104" s="44" t="s">
        <v>127</v>
      </c>
      <c r="C104" s="6" t="s">
        <v>120</v>
      </c>
      <c r="D104" s="6" t="s">
        <v>120</v>
      </c>
      <c r="E104" s="6" t="s">
        <v>120</v>
      </c>
      <c r="F104" s="6" t="s">
        <v>120</v>
      </c>
      <c r="G104" s="6" t="s">
        <v>120</v>
      </c>
      <c r="H104" s="6" t="s">
        <v>120</v>
      </c>
      <c r="I104" s="6" t="s">
        <v>120</v>
      </c>
      <c r="J104" s="6" t="s">
        <v>120</v>
      </c>
      <c r="K104" s="5" t="s">
        <v>124</v>
      </c>
    </row>
    <row r="105" spans="1:11">
      <c r="A105" s="12" t="s">
        <v>225</v>
      </c>
      <c r="B105" s="5" t="s">
        <v>122</v>
      </c>
      <c r="C105" s="6" t="s">
        <v>120</v>
      </c>
      <c r="D105" s="6" t="s">
        <v>120</v>
      </c>
      <c r="E105" s="6" t="s">
        <v>120</v>
      </c>
      <c r="F105" s="6" t="s">
        <v>120</v>
      </c>
      <c r="G105" s="6" t="s">
        <v>120</v>
      </c>
      <c r="H105" s="6" t="s">
        <v>120</v>
      </c>
      <c r="I105" s="6" t="s">
        <v>120</v>
      </c>
      <c r="J105" s="6" t="s">
        <v>120</v>
      </c>
      <c r="K105" s="5" t="s">
        <v>124</v>
      </c>
    </row>
    <row r="106" spans="1:11">
      <c r="A106" s="12" t="s">
        <v>226</v>
      </c>
      <c r="B106" s="44" t="s">
        <v>127</v>
      </c>
      <c r="C106" s="6" t="s">
        <v>120</v>
      </c>
      <c r="D106" s="6" t="s">
        <v>120</v>
      </c>
      <c r="E106" s="6" t="s">
        <v>120</v>
      </c>
      <c r="F106" s="6" t="s">
        <v>120</v>
      </c>
      <c r="G106" s="6" t="s">
        <v>120</v>
      </c>
      <c r="H106" s="6" t="s">
        <v>120</v>
      </c>
      <c r="I106" s="6" t="s">
        <v>120</v>
      </c>
      <c r="J106" s="6" t="s">
        <v>120</v>
      </c>
      <c r="K106" s="5" t="s">
        <v>124</v>
      </c>
    </row>
    <row r="107" spans="1:11">
      <c r="A107" s="12" t="s">
        <v>227</v>
      </c>
      <c r="B107" s="44" t="s">
        <v>127</v>
      </c>
      <c r="C107" s="6" t="s">
        <v>120</v>
      </c>
      <c r="D107" s="6" t="s">
        <v>120</v>
      </c>
      <c r="E107" s="6" t="s">
        <v>120</v>
      </c>
      <c r="F107" s="6" t="s">
        <v>120</v>
      </c>
      <c r="G107" s="6" t="s">
        <v>120</v>
      </c>
      <c r="H107" s="6" t="s">
        <v>120</v>
      </c>
      <c r="I107" s="6" t="s">
        <v>120</v>
      </c>
      <c r="J107" s="6" t="s">
        <v>120</v>
      </c>
      <c r="K107" s="5" t="s">
        <v>124</v>
      </c>
    </row>
    <row r="108" spans="1:11">
      <c r="A108" s="12" t="s">
        <v>228</v>
      </c>
      <c r="B108" s="5" t="s">
        <v>122</v>
      </c>
      <c r="C108" s="6" t="s">
        <v>120</v>
      </c>
      <c r="D108" s="6" t="s">
        <v>120</v>
      </c>
      <c r="E108" s="6" t="s">
        <v>120</v>
      </c>
      <c r="F108" s="6" t="s">
        <v>120</v>
      </c>
      <c r="G108" s="6" t="s">
        <v>120</v>
      </c>
      <c r="H108" s="6" t="s">
        <v>120</v>
      </c>
      <c r="I108" s="6" t="s">
        <v>120</v>
      </c>
      <c r="J108" s="6" t="s">
        <v>120</v>
      </c>
      <c r="K108" s="5" t="s">
        <v>124</v>
      </c>
    </row>
    <row r="109" spans="1:11">
      <c r="A109" s="12" t="s">
        <v>229</v>
      </c>
      <c r="B109" s="44" t="s">
        <v>127</v>
      </c>
      <c r="C109" s="6" t="s">
        <v>120</v>
      </c>
      <c r="D109" s="6" t="s">
        <v>120</v>
      </c>
      <c r="E109" s="6" t="s">
        <v>120</v>
      </c>
      <c r="F109" s="6" t="s">
        <v>120</v>
      </c>
      <c r="G109" s="6" t="s">
        <v>120</v>
      </c>
      <c r="H109" s="6" t="s">
        <v>120</v>
      </c>
      <c r="I109" s="6" t="s">
        <v>120</v>
      </c>
      <c r="J109" s="6" t="s">
        <v>120</v>
      </c>
      <c r="K109" s="5" t="s">
        <v>124</v>
      </c>
    </row>
    <row r="110" spans="1:11">
      <c r="A110" s="12" t="s">
        <v>230</v>
      </c>
      <c r="B110" s="44" t="s">
        <v>127</v>
      </c>
      <c r="C110" s="6" t="s">
        <v>120</v>
      </c>
      <c r="D110" s="6" t="s">
        <v>120</v>
      </c>
      <c r="E110" s="6" t="s">
        <v>120</v>
      </c>
      <c r="F110" s="6" t="s">
        <v>120</v>
      </c>
      <c r="G110" s="6" t="s">
        <v>120</v>
      </c>
      <c r="H110" s="6" t="s">
        <v>120</v>
      </c>
      <c r="I110" s="6" t="s">
        <v>120</v>
      </c>
      <c r="J110" s="6" t="s">
        <v>120</v>
      </c>
      <c r="K110" s="5" t="s">
        <v>124</v>
      </c>
    </row>
    <row r="111" spans="1:11">
      <c r="A111" s="12" t="s">
        <v>231</v>
      </c>
      <c r="B111" s="5" t="s">
        <v>122</v>
      </c>
      <c r="C111" s="6" t="s">
        <v>120</v>
      </c>
      <c r="D111" s="6" t="s">
        <v>120</v>
      </c>
      <c r="E111" s="6" t="s">
        <v>120</v>
      </c>
      <c r="F111" s="6" t="s">
        <v>120</v>
      </c>
      <c r="G111" s="6" t="s">
        <v>120</v>
      </c>
      <c r="H111" s="6" t="s">
        <v>120</v>
      </c>
      <c r="I111" s="6" t="s">
        <v>120</v>
      </c>
      <c r="J111" s="6" t="s">
        <v>120</v>
      </c>
      <c r="K111" s="5" t="s">
        <v>124</v>
      </c>
    </row>
    <row r="112" spans="1:11">
      <c r="A112" s="12" t="s">
        <v>232</v>
      </c>
      <c r="B112" s="5" t="s">
        <v>122</v>
      </c>
      <c r="C112" s="6" t="s">
        <v>120</v>
      </c>
      <c r="D112" s="6" t="s">
        <v>120</v>
      </c>
      <c r="E112" s="6" t="s">
        <v>120</v>
      </c>
      <c r="F112" s="6" t="s">
        <v>120</v>
      </c>
      <c r="G112" s="6" t="s">
        <v>120</v>
      </c>
      <c r="H112" s="6" t="s">
        <v>120</v>
      </c>
      <c r="I112" s="6" t="s">
        <v>120</v>
      </c>
      <c r="J112" s="6" t="s">
        <v>120</v>
      </c>
      <c r="K112" s="5" t="s">
        <v>124</v>
      </c>
    </row>
    <row r="113" spans="1:11">
      <c r="A113" s="12" t="s">
        <v>233</v>
      </c>
      <c r="B113" s="44" t="s">
        <v>127</v>
      </c>
      <c r="C113" s="6" t="s">
        <v>120</v>
      </c>
      <c r="D113" s="6" t="s">
        <v>120</v>
      </c>
      <c r="E113" s="6" t="s">
        <v>120</v>
      </c>
      <c r="F113" s="6" t="s">
        <v>120</v>
      </c>
      <c r="G113" s="6" t="s">
        <v>120</v>
      </c>
      <c r="H113" s="6" t="s">
        <v>120</v>
      </c>
      <c r="I113" s="6" t="s">
        <v>120</v>
      </c>
      <c r="J113" s="6" t="s">
        <v>120</v>
      </c>
      <c r="K113" s="5" t="s">
        <v>124</v>
      </c>
    </row>
    <row r="114" spans="1:11">
      <c r="A114" s="12" t="s">
        <v>234</v>
      </c>
      <c r="B114" s="5" t="s">
        <v>122</v>
      </c>
      <c r="C114" s="6" t="s">
        <v>120</v>
      </c>
      <c r="D114" s="6" t="s">
        <v>120</v>
      </c>
      <c r="E114" s="6" t="s">
        <v>120</v>
      </c>
      <c r="F114" s="6" t="s">
        <v>120</v>
      </c>
      <c r="G114" s="6" t="s">
        <v>120</v>
      </c>
      <c r="H114" s="6" t="s">
        <v>120</v>
      </c>
      <c r="I114" s="6" t="s">
        <v>120</v>
      </c>
      <c r="J114" s="6" t="s">
        <v>120</v>
      </c>
      <c r="K114" s="5" t="s">
        <v>124</v>
      </c>
    </row>
    <row r="115" spans="1:11">
      <c r="A115" s="12" t="s">
        <v>235</v>
      </c>
      <c r="B115" s="5" t="s">
        <v>122</v>
      </c>
      <c r="C115" s="6" t="s">
        <v>120</v>
      </c>
      <c r="D115" s="6" t="s">
        <v>120</v>
      </c>
      <c r="E115" s="6" t="s">
        <v>120</v>
      </c>
      <c r="F115" s="6" t="s">
        <v>120</v>
      </c>
      <c r="G115" s="6" t="s">
        <v>120</v>
      </c>
      <c r="H115" s="6" t="s">
        <v>120</v>
      </c>
      <c r="I115" s="6" t="s">
        <v>120</v>
      </c>
      <c r="J115" s="6" t="s">
        <v>120</v>
      </c>
      <c r="K115" s="5" t="s">
        <v>124</v>
      </c>
    </row>
    <row r="116" spans="1:11">
      <c r="A116" s="12" t="s">
        <v>236</v>
      </c>
      <c r="B116" s="5" t="s">
        <v>122</v>
      </c>
      <c r="C116" s="6" t="s">
        <v>120</v>
      </c>
      <c r="D116" s="6" t="s">
        <v>120</v>
      </c>
      <c r="E116" s="6" t="s">
        <v>120</v>
      </c>
      <c r="F116" s="6" t="s">
        <v>120</v>
      </c>
      <c r="G116" s="6" t="s">
        <v>120</v>
      </c>
      <c r="H116" s="6" t="s">
        <v>120</v>
      </c>
      <c r="I116" s="6" t="s">
        <v>120</v>
      </c>
      <c r="J116" s="6" t="s">
        <v>120</v>
      </c>
      <c r="K116" s="5" t="s">
        <v>124</v>
      </c>
    </row>
    <row r="117" spans="1:11">
      <c r="A117" s="12" t="s">
        <v>237</v>
      </c>
      <c r="B117" s="5" t="s">
        <v>122</v>
      </c>
      <c r="C117" s="6" t="s">
        <v>120</v>
      </c>
      <c r="D117" s="6" t="s">
        <v>120</v>
      </c>
      <c r="E117" s="6" t="s">
        <v>120</v>
      </c>
      <c r="F117" s="6" t="s">
        <v>120</v>
      </c>
      <c r="G117" s="6" t="s">
        <v>120</v>
      </c>
      <c r="H117" s="6" t="s">
        <v>120</v>
      </c>
      <c r="I117" s="6" t="s">
        <v>120</v>
      </c>
      <c r="J117" s="6" t="s">
        <v>120</v>
      </c>
      <c r="K117" s="5" t="s">
        <v>124</v>
      </c>
    </row>
    <row r="118" spans="1:11">
      <c r="A118" s="12" t="s">
        <v>238</v>
      </c>
      <c r="B118" s="44" t="s">
        <v>127</v>
      </c>
      <c r="C118" s="6" t="s">
        <v>120</v>
      </c>
      <c r="D118" s="6" t="s">
        <v>120</v>
      </c>
      <c r="E118" s="6" t="s">
        <v>120</v>
      </c>
      <c r="F118" s="6" t="s">
        <v>120</v>
      </c>
      <c r="G118" s="6" t="s">
        <v>120</v>
      </c>
      <c r="H118" s="6" t="s">
        <v>120</v>
      </c>
      <c r="I118" s="5" t="s">
        <v>122</v>
      </c>
      <c r="J118" s="6" t="s">
        <v>120</v>
      </c>
      <c r="K118" s="5" t="s">
        <v>124</v>
      </c>
    </row>
    <row r="119" spans="1:11">
      <c r="A119" s="12" t="s">
        <v>239</v>
      </c>
      <c r="B119" s="44" t="s">
        <v>127</v>
      </c>
      <c r="C119" s="6" t="s">
        <v>120</v>
      </c>
      <c r="D119" s="6" t="s">
        <v>120</v>
      </c>
      <c r="E119" s="6" t="s">
        <v>120</v>
      </c>
      <c r="F119" s="6" t="s">
        <v>120</v>
      </c>
      <c r="G119" s="6" t="s">
        <v>120</v>
      </c>
      <c r="H119" s="6" t="s">
        <v>120</v>
      </c>
      <c r="I119" s="6" t="s">
        <v>120</v>
      </c>
      <c r="J119" s="5" t="s">
        <v>122</v>
      </c>
      <c r="K119" s="5" t="s">
        <v>124</v>
      </c>
    </row>
    <row r="120" spans="1:11">
      <c r="A120" s="12" t="s">
        <v>240</v>
      </c>
      <c r="B120" s="5" t="s">
        <v>122</v>
      </c>
      <c r="C120" s="6" t="s">
        <v>120</v>
      </c>
      <c r="D120" s="6" t="s">
        <v>120</v>
      </c>
      <c r="E120" s="6" t="s">
        <v>120</v>
      </c>
      <c r="F120" s="6" t="s">
        <v>120</v>
      </c>
      <c r="G120" s="6" t="s">
        <v>120</v>
      </c>
      <c r="H120" s="6" t="s">
        <v>120</v>
      </c>
      <c r="I120" s="6" t="s">
        <v>120</v>
      </c>
      <c r="J120" s="6" t="s">
        <v>120</v>
      </c>
      <c r="K120" s="5" t="s">
        <v>124</v>
      </c>
    </row>
    <row r="121" spans="1:11">
      <c r="A121" s="12" t="s">
        <v>241</v>
      </c>
      <c r="B121" s="5" t="s">
        <v>122</v>
      </c>
      <c r="C121" s="6" t="s">
        <v>120</v>
      </c>
      <c r="D121" s="6" t="s">
        <v>120</v>
      </c>
      <c r="E121" s="6" t="s">
        <v>120</v>
      </c>
      <c r="F121" s="6" t="s">
        <v>120</v>
      </c>
      <c r="G121" s="6" t="s">
        <v>120</v>
      </c>
      <c r="H121" s="6" t="s">
        <v>120</v>
      </c>
      <c r="I121" s="6" t="s">
        <v>120</v>
      </c>
      <c r="J121" s="6" t="s">
        <v>120</v>
      </c>
      <c r="K121" s="5" t="s">
        <v>124</v>
      </c>
    </row>
    <row r="122" spans="1:11">
      <c r="A122" s="12" t="s">
        <v>242</v>
      </c>
      <c r="B122" s="5" t="s">
        <v>122</v>
      </c>
      <c r="C122" s="6" t="s">
        <v>120</v>
      </c>
      <c r="D122" s="6" t="s">
        <v>120</v>
      </c>
      <c r="E122" s="6" t="s">
        <v>120</v>
      </c>
      <c r="F122" s="6" t="s">
        <v>120</v>
      </c>
      <c r="G122" s="6" t="s">
        <v>120</v>
      </c>
      <c r="H122" s="6" t="s">
        <v>120</v>
      </c>
      <c r="I122" s="6" t="s">
        <v>120</v>
      </c>
      <c r="J122" s="6" t="s">
        <v>120</v>
      </c>
      <c r="K122" s="5" t="s">
        <v>124</v>
      </c>
    </row>
    <row r="123" spans="1:11">
      <c r="A123" s="12" t="s">
        <v>243</v>
      </c>
      <c r="B123" s="44" t="s">
        <v>127</v>
      </c>
      <c r="C123" s="6" t="s">
        <v>120</v>
      </c>
      <c r="D123" s="6" t="s">
        <v>120</v>
      </c>
      <c r="E123" s="6" t="s">
        <v>120</v>
      </c>
      <c r="F123" s="6" t="s">
        <v>120</v>
      </c>
      <c r="G123" s="6" t="s">
        <v>120</v>
      </c>
      <c r="H123" s="6" t="s">
        <v>120</v>
      </c>
      <c r="I123" s="6" t="s">
        <v>120</v>
      </c>
      <c r="J123" s="6" t="s">
        <v>120</v>
      </c>
      <c r="K123" s="5" t="s">
        <v>124</v>
      </c>
    </row>
    <row r="124" spans="1:11">
      <c r="A124" s="12" t="s">
        <v>244</v>
      </c>
      <c r="B124" s="44" t="s">
        <v>127</v>
      </c>
      <c r="C124" s="6" t="s">
        <v>120</v>
      </c>
      <c r="D124" s="6" t="s">
        <v>120</v>
      </c>
      <c r="E124" s="6" t="s">
        <v>120</v>
      </c>
      <c r="F124" s="6" t="s">
        <v>120</v>
      </c>
      <c r="G124" s="6" t="s">
        <v>120</v>
      </c>
      <c r="H124" s="6" t="s">
        <v>120</v>
      </c>
      <c r="I124" s="6" t="s">
        <v>120</v>
      </c>
      <c r="J124" s="6" t="s">
        <v>120</v>
      </c>
      <c r="K124" s="5" t="s">
        <v>124</v>
      </c>
    </row>
    <row r="125" spans="1:11">
      <c r="A125" s="12" t="s">
        <v>245</v>
      </c>
      <c r="B125" s="5" t="s">
        <v>122</v>
      </c>
      <c r="C125" s="6" t="s">
        <v>120</v>
      </c>
      <c r="D125" s="6" t="s">
        <v>120</v>
      </c>
      <c r="E125" s="6" t="s">
        <v>120</v>
      </c>
      <c r="F125" s="6" t="s">
        <v>120</v>
      </c>
      <c r="G125" s="6" t="s">
        <v>120</v>
      </c>
      <c r="H125" s="6" t="s">
        <v>120</v>
      </c>
      <c r="I125" s="6" t="s">
        <v>120</v>
      </c>
      <c r="J125" s="6" t="s">
        <v>120</v>
      </c>
      <c r="K125" s="5" t="s">
        <v>124</v>
      </c>
    </row>
    <row r="126" spans="1:11">
      <c r="A126" s="12" t="s">
        <v>246</v>
      </c>
      <c r="B126" s="5" t="s">
        <v>122</v>
      </c>
      <c r="C126" s="6" t="s">
        <v>120</v>
      </c>
      <c r="D126" s="6" t="s">
        <v>120</v>
      </c>
      <c r="E126" s="6" t="s">
        <v>120</v>
      </c>
      <c r="F126" s="6" t="s">
        <v>120</v>
      </c>
      <c r="G126" s="6" t="s">
        <v>120</v>
      </c>
      <c r="H126" s="6" t="s">
        <v>120</v>
      </c>
      <c r="I126" s="6" t="s">
        <v>120</v>
      </c>
      <c r="J126" s="6" t="s">
        <v>120</v>
      </c>
      <c r="K126" s="5" t="s">
        <v>124</v>
      </c>
    </row>
    <row r="127" spans="1:11">
      <c r="A127" s="12" t="s">
        <v>247</v>
      </c>
      <c r="B127" s="44" t="s">
        <v>127</v>
      </c>
      <c r="C127" s="6" t="s">
        <v>120</v>
      </c>
      <c r="D127" s="6" t="s">
        <v>120</v>
      </c>
      <c r="E127" s="6" t="s">
        <v>120</v>
      </c>
      <c r="F127" s="6" t="s">
        <v>120</v>
      </c>
      <c r="G127" s="6" t="s">
        <v>120</v>
      </c>
      <c r="H127" s="6" t="s">
        <v>120</v>
      </c>
      <c r="I127" s="6" t="s">
        <v>120</v>
      </c>
      <c r="J127" s="6" t="s">
        <v>120</v>
      </c>
      <c r="K127" s="5" t="s">
        <v>124</v>
      </c>
    </row>
    <row r="128" spans="1:11">
      <c r="A128" s="12" t="s">
        <v>248</v>
      </c>
      <c r="B128" s="44" t="s">
        <v>127</v>
      </c>
      <c r="C128" s="44" t="s">
        <v>127</v>
      </c>
      <c r="D128" s="6" t="s">
        <v>120</v>
      </c>
      <c r="E128" s="6" t="s">
        <v>120</v>
      </c>
      <c r="F128" s="6" t="s">
        <v>120</v>
      </c>
      <c r="G128" s="6" t="s">
        <v>120</v>
      </c>
      <c r="H128" s="6" t="s">
        <v>120</v>
      </c>
      <c r="I128" s="6" t="s">
        <v>120</v>
      </c>
      <c r="J128" s="6" t="s">
        <v>120</v>
      </c>
      <c r="K128" s="5" t="s">
        <v>124</v>
      </c>
    </row>
    <row r="129" spans="1:11">
      <c r="A129" s="12" t="s">
        <v>249</v>
      </c>
      <c r="B129" s="5" t="s">
        <v>122</v>
      </c>
      <c r="C129" s="6" t="s">
        <v>120</v>
      </c>
      <c r="D129" s="6" t="s">
        <v>120</v>
      </c>
      <c r="E129" s="6" t="s">
        <v>120</v>
      </c>
      <c r="F129" s="6" t="s">
        <v>120</v>
      </c>
      <c r="G129" s="6" t="s">
        <v>120</v>
      </c>
      <c r="H129" s="6" t="s">
        <v>120</v>
      </c>
      <c r="I129" s="6" t="s">
        <v>120</v>
      </c>
      <c r="J129" s="6" t="s">
        <v>120</v>
      </c>
      <c r="K129" s="5" t="s">
        <v>124</v>
      </c>
    </row>
    <row r="130" spans="1:11">
      <c r="A130" s="12" t="s">
        <v>250</v>
      </c>
      <c r="B130" s="6" t="s">
        <v>120</v>
      </c>
      <c r="C130" s="6" t="s">
        <v>120</v>
      </c>
      <c r="D130" s="6" t="s">
        <v>120</v>
      </c>
      <c r="E130" s="6" t="s">
        <v>120</v>
      </c>
      <c r="F130" s="6" t="s">
        <v>120</v>
      </c>
      <c r="G130" s="6" t="s">
        <v>120</v>
      </c>
      <c r="H130" s="6" t="s">
        <v>120</v>
      </c>
      <c r="I130" s="6" t="s">
        <v>120</v>
      </c>
      <c r="J130" s="6" t="s">
        <v>120</v>
      </c>
      <c r="K130" s="5" t="s">
        <v>124</v>
      </c>
    </row>
    <row r="131" spans="1:11">
      <c r="A131" s="12" t="s">
        <v>251</v>
      </c>
      <c r="B131" s="5" t="s">
        <v>122</v>
      </c>
      <c r="C131" s="6" t="s">
        <v>120</v>
      </c>
      <c r="D131" s="6" t="s">
        <v>120</v>
      </c>
      <c r="E131" s="6" t="s">
        <v>120</v>
      </c>
      <c r="F131" s="6" t="s">
        <v>120</v>
      </c>
      <c r="G131" s="6" t="s">
        <v>120</v>
      </c>
      <c r="H131" s="6" t="s">
        <v>120</v>
      </c>
      <c r="I131" s="6" t="s">
        <v>120</v>
      </c>
      <c r="J131" s="6" t="s">
        <v>120</v>
      </c>
      <c r="K131" s="5" t="s">
        <v>124</v>
      </c>
    </row>
    <row r="132" spans="1:11">
      <c r="A132" s="12" t="s">
        <v>252</v>
      </c>
      <c r="B132" s="5" t="s">
        <v>122</v>
      </c>
      <c r="C132" s="6" t="s">
        <v>120</v>
      </c>
      <c r="D132" s="6" t="s">
        <v>120</v>
      </c>
      <c r="E132" s="6" t="s">
        <v>120</v>
      </c>
      <c r="F132" s="6" t="s">
        <v>120</v>
      </c>
      <c r="G132" s="6" t="s">
        <v>120</v>
      </c>
      <c r="H132" s="6" t="s">
        <v>120</v>
      </c>
      <c r="I132" s="6" t="s">
        <v>120</v>
      </c>
      <c r="J132" s="6" t="s">
        <v>120</v>
      </c>
      <c r="K132" s="5" t="s">
        <v>124</v>
      </c>
    </row>
    <row r="133" spans="1:11">
      <c r="A133" s="12" t="s">
        <v>253</v>
      </c>
      <c r="B133" s="5" t="s">
        <v>122</v>
      </c>
      <c r="C133" s="6" t="s">
        <v>120</v>
      </c>
      <c r="D133" s="6" t="s">
        <v>120</v>
      </c>
      <c r="E133" s="6" t="s">
        <v>120</v>
      </c>
      <c r="F133" s="6" t="s">
        <v>120</v>
      </c>
      <c r="G133" s="6" t="s">
        <v>120</v>
      </c>
      <c r="H133" s="6" t="s">
        <v>120</v>
      </c>
      <c r="I133" s="6" t="s">
        <v>120</v>
      </c>
      <c r="J133" s="6" t="s">
        <v>120</v>
      </c>
      <c r="K133" s="5" t="s">
        <v>124</v>
      </c>
    </row>
  </sheetData>
  <sheetProtection algorithmName="SHA-512" hashValue="YeZzqIcTOk0fqZO5DccAYw7XIUgq4MWkp3ihYBDUMSJt+JpAzNH406XiKmrRZT9mvGmBriNUI2c99qtpEkiS8w==" saltValue="cKg5JGMHWKf9e31q1qng4Q==" spinCount="100000" sheet="1" objects="1" scenarios="1"/>
  <autoFilter ref="A2:K133" xr:uid="{7F95ACAA-29A7-4830-9908-5E82C5F960E5}"/>
  <sortState xmlns:xlrd2="http://schemas.microsoft.com/office/spreadsheetml/2017/richdata2" ref="A4:K133">
    <sortCondition ref="A5"/>
  </sortState>
  <conditionalFormatting sqref="B5:B18">
    <cfRule type="containsText" dxfId="75" priority="57" operator="containsText" text="Mandtry-BU">
      <formula>NOT(ISERROR(SEARCH("Mandtry-BU",B5)))</formula>
    </cfRule>
    <cfRule type="containsText" dxfId="74" priority="58" operator="containsText" text="Mandtry-SAP">
      <formula>NOT(ISERROR(SEARCH("Mandtry-SAP",B5)))</formula>
    </cfRule>
    <cfRule type="containsText" dxfId="73" priority="59" operator="containsText" text="Optional">
      <formula>NOT(ISERROR(SEARCH("Optional",B5)))</formula>
    </cfRule>
    <cfRule type="containsText" dxfId="72" priority="60" operator="containsText" text="Mandtry-Vendor">
      <formula>NOT(ISERROR(SEARCH("Mandtry-Vendor",B5)))</formula>
    </cfRule>
  </conditionalFormatting>
  <conditionalFormatting sqref="B65:B73 B77:B82 B87 B91:B92 B97:B98 B100:B101 B104 B106:B107 B110:J110 B113 B118:B119 B122:B124 B127:B128">
    <cfRule type="containsText" dxfId="71" priority="34" operator="containsText" text="Mandtry-SAP">
      <formula>NOT(ISERROR(SEARCH("Mandtry-SAP",B65)))</formula>
    </cfRule>
    <cfRule type="containsText" dxfId="70" priority="35" operator="containsText" text="Optional">
      <formula>NOT(ISERROR(SEARCH("Optional",B65)))</formula>
    </cfRule>
    <cfRule type="containsText" dxfId="69" priority="36" operator="containsText" text="Mandtry-Vendor">
      <formula>NOT(ISERROR(SEARCH("Mandtry-Vendor",B65)))</formula>
    </cfRule>
  </conditionalFormatting>
  <conditionalFormatting sqref="B65:B82 B87 B91:B92 B97:B98 B100:B101 B104 B106:B107 B110:J110 B113 B118:B119 B122:B124 B127:B128">
    <cfRule type="containsText" dxfId="68" priority="33" operator="containsText" text="Mandtry-BU">
      <formula>NOT(ISERROR(SEARCH("Mandtry-BU",B65)))</formula>
    </cfRule>
  </conditionalFormatting>
  <conditionalFormatting sqref="B4:F4 H4:K4">
    <cfRule type="containsText" dxfId="67" priority="75" operator="containsText" text="Optional">
      <formula>NOT(ISERROR(SEARCH("Optional",B4)))</formula>
    </cfRule>
    <cfRule type="containsText" dxfId="66" priority="76" operator="containsText" text="Mandtry-Vendor">
      <formula>NOT(ISERROR(SEARCH("Mandtry-Vendor",B4)))</formula>
    </cfRule>
    <cfRule type="containsText" dxfId="65" priority="74" operator="containsText" text="Mandtry-SAP">
      <formula>NOT(ISERROR(SEARCH("Mandtry-SAP",B4)))</formula>
    </cfRule>
    <cfRule type="containsText" dxfId="64" priority="73" operator="containsText" text="Mandtry-BU">
      <formula>NOT(ISERROR(SEARCH("Mandtry-BU",B4)))</formula>
    </cfRule>
  </conditionalFormatting>
  <conditionalFormatting sqref="B58:I59 H50:I56 B62:I62 B64:I64 C73:I73 H77:I79 I80">
    <cfRule type="containsText" dxfId="63" priority="349" operator="containsText" text="Mandtry-BU">
      <formula>NOT(ISERROR(SEARCH("Mandtry-BU",B50)))</formula>
    </cfRule>
  </conditionalFormatting>
  <conditionalFormatting sqref="B3:K3 I5:J9 A5:A133 I11:J13 I18:K18 I21:K21 I23:K24 I26:K27 I29:K33 I35:K36 I40:K41 I43:K43 I45:K46 I48:K48 B50:G52 I50:K56 B53:E53 B54:G56 I58:K59 B62:G62 I62:K62 G62:G133 B64:G64 I64:K64 C69:G70 I69:K70 C73:G73 I73:K73 C77:G80 I77:I80 C82:G82 I82">
    <cfRule type="containsText" dxfId="62" priority="374" operator="containsText" text="Mandtry-SAP">
      <formula>NOT(ISERROR(SEARCH("Mandtry-SAP",A3)))</formula>
    </cfRule>
    <cfRule type="containsText" dxfId="61" priority="376" operator="containsText" text="Mandtry-Vendor">
      <formula>NOT(ISERROR(SEARCH("Mandtry-Vendor",A3)))</formula>
    </cfRule>
    <cfRule type="containsText" dxfId="60" priority="375" operator="containsText" text="Optional">
      <formula>NOT(ISERROR(SEARCH("Optional",A3)))</formula>
    </cfRule>
  </conditionalFormatting>
  <conditionalFormatting sqref="B28:K28">
    <cfRule type="containsText" dxfId="59" priority="53" operator="containsText" text="Mandtry-BU">
      <formula>NOT(ISERROR(SEARCH("Mandtry-BU",B28)))</formula>
    </cfRule>
    <cfRule type="containsText" dxfId="58" priority="54" operator="containsText" text="Mandtry-SAP">
      <formula>NOT(ISERROR(SEARCH("Mandtry-SAP",B28)))</formula>
    </cfRule>
    <cfRule type="containsText" dxfId="57" priority="55" operator="containsText" text="Optional">
      <formula>NOT(ISERROR(SEARCH("Optional",B28)))</formula>
    </cfRule>
    <cfRule type="containsText" dxfId="56" priority="56" operator="containsText" text="Mandtry-Vendor">
      <formula>NOT(ISERROR(SEARCH("Mandtry-Vendor",B28)))</formula>
    </cfRule>
  </conditionalFormatting>
  <conditionalFormatting sqref="B37:K39">
    <cfRule type="containsText" dxfId="55" priority="49" operator="containsText" text="Mandtry-BU">
      <formula>NOT(ISERROR(SEARCH("Mandtry-BU",B37)))</formula>
    </cfRule>
    <cfRule type="containsText" dxfId="54" priority="50" operator="containsText" text="Mandtry-SAP">
      <formula>NOT(ISERROR(SEARCH("Mandtry-SAP",B37)))</formula>
    </cfRule>
    <cfRule type="containsText" dxfId="53" priority="51" operator="containsText" text="Optional">
      <formula>NOT(ISERROR(SEARCH("Optional",B37)))</formula>
    </cfRule>
    <cfRule type="containsText" dxfId="52" priority="52" operator="containsText" text="Mandtry-Vendor">
      <formula>NOT(ISERROR(SEARCH("Mandtry-Vendor",B37)))</formula>
    </cfRule>
  </conditionalFormatting>
  <conditionalFormatting sqref="B42:K42">
    <cfRule type="containsText" dxfId="51" priority="47" operator="containsText" text="Optional">
      <formula>NOT(ISERROR(SEARCH("Optional",B42)))</formula>
    </cfRule>
    <cfRule type="containsText" dxfId="50" priority="45" operator="containsText" text="Mandtry-BU">
      <formula>NOT(ISERROR(SEARCH("Mandtry-BU",B42)))</formula>
    </cfRule>
    <cfRule type="containsText" dxfId="49" priority="46" operator="containsText" text="Mandtry-SAP">
      <formula>NOT(ISERROR(SEARCH("Mandtry-SAP",B42)))</formula>
    </cfRule>
    <cfRule type="containsText" dxfId="48" priority="48" operator="containsText" text="Mandtry-Vendor">
      <formula>NOT(ISERROR(SEARCH("Mandtry-Vendor",B42)))</formula>
    </cfRule>
  </conditionalFormatting>
  <conditionalFormatting sqref="C5:I9 H11:I13 H18:I18 H21:I21 H23:I24 H26:I27 H29:I33 H35:I36 H40:I41 H43:I43 H45:I46 H48:I48">
    <cfRule type="containsText" dxfId="47" priority="354" operator="containsText" text="Mandtry-SAP">
      <formula>NOT(ISERROR(SEARCH("Mandtry-SAP",C5)))</formula>
    </cfRule>
    <cfRule type="containsText" dxfId="46" priority="356" operator="containsText" text="Mandtry-Vendor">
      <formula>NOT(ISERROR(SEARCH("Mandtry-Vendor",C5)))</formula>
    </cfRule>
    <cfRule type="containsText" dxfId="45" priority="355" operator="containsText" text="Optional">
      <formula>NOT(ISERROR(SEARCH("Optional",C5)))</formula>
    </cfRule>
    <cfRule type="containsText" dxfId="44" priority="353" operator="containsText" text="Mandtry-BU">
      <formula>NOT(ISERROR(SEARCH("Mandtry-BU",C5)))</formula>
    </cfRule>
  </conditionalFormatting>
  <conditionalFormatting sqref="C10:J10">
    <cfRule type="containsText" dxfId="43" priority="71" operator="containsText" text="Optional">
      <formula>NOT(ISERROR(SEARCH("Optional",C10)))</formula>
    </cfRule>
    <cfRule type="containsText" dxfId="42" priority="69" operator="containsText" text="Mandtry-BU">
      <formula>NOT(ISERROR(SEARCH("Mandtry-BU",C10)))</formula>
    </cfRule>
    <cfRule type="containsText" dxfId="41" priority="70" operator="containsText" text="Mandtry-SAP">
      <formula>NOT(ISERROR(SEARCH("Mandtry-SAP",C10)))</formula>
    </cfRule>
    <cfRule type="containsText" dxfId="40" priority="72" operator="containsText" text="Mandtry-Vendor">
      <formula>NOT(ISERROR(SEARCH("Mandtry-Vendor",C10)))</formula>
    </cfRule>
  </conditionalFormatting>
  <conditionalFormatting sqref="C14:J17 B19:K20 B22:K22 B25:K25 B34:K34 B44:K44 B47:K47 B49:K49 B57:J57 B60:K61 B63:K63 C65:J68 C71:J72 B74:K76 C81:K81 B83:J86 B89:J90 B94:J94 B102:J102 B105:J105 C107:J107 B115:J117 C122:J123 B125:J125 B129:J129 B133:J133">
    <cfRule type="containsText" dxfId="39" priority="62" operator="containsText" text="Mandtry-SAP">
      <formula>NOT(ISERROR(SEARCH("Mandtry-SAP",B14)))</formula>
    </cfRule>
    <cfRule type="containsText" dxfId="38" priority="64" operator="containsText" text="Mandtry-Vendor">
      <formula>NOT(ISERROR(SEARCH("Mandtry-Vendor",B14)))</formula>
    </cfRule>
    <cfRule type="containsText" dxfId="37" priority="63" operator="containsText" text="Optional">
      <formula>NOT(ISERROR(SEARCH("Optional",B14)))</formula>
    </cfRule>
  </conditionalFormatting>
  <conditionalFormatting sqref="C14:J17 B19:K20 B22:K22 B25:K25 B34:K34 B44:K44 B47:K47 B49:K49 B57:J57 B60:K61 B63:K63 C65:J72 C74:K76 C81:K82 B83:J86 B89:J90 B94:J94 B102:J102 B105:J105 C107:J107 B115:J117 C122:J123 B125:J125 B129:J129 B133:J133">
    <cfRule type="containsText" dxfId="36" priority="61" operator="containsText" text="Mandtry-BU">
      <formula>NOT(ISERROR(SEARCH("Mandtry-BU",B14)))</formula>
    </cfRule>
  </conditionalFormatting>
  <conditionalFormatting sqref="G4:G61">
    <cfRule type="containsText" dxfId="35" priority="3" operator="containsText" text="Optional">
      <formula>NOT(ISERROR(SEARCH("Optional",G4)))</formula>
    </cfRule>
    <cfRule type="containsText" dxfId="34" priority="4" operator="containsText" text="Mandtry-Vendor">
      <formula>NOT(ISERROR(SEARCH("Mandtry-Vendor",G4)))</formula>
    </cfRule>
    <cfRule type="containsText" dxfId="33" priority="2" operator="containsText" text="Mandtry-SAP">
      <formula>NOT(ISERROR(SEARCH("Mandtry-SAP",G4)))</formula>
    </cfRule>
    <cfRule type="containsText" dxfId="32" priority="1" operator="containsText" text="Mandtry-BU">
      <formula>NOT(ISERROR(SEARCH("Mandtry-BU",G4)))</formula>
    </cfRule>
  </conditionalFormatting>
  <conditionalFormatting sqref="H6:I9 C11:I13 C18:I18 B21:I21 B23:I24 B26:I27 B29:I33 B35:I36 B40:I41 B43:I43 B45:I46 B48:I48">
    <cfRule type="containsText" dxfId="31" priority="358" operator="containsText" text="Mandtry-SAP">
      <formula>NOT(ISERROR(SEARCH("Mandtry-SAP",B6)))</formula>
    </cfRule>
    <cfRule type="containsText" dxfId="30" priority="360" operator="containsText" text="Mandtry-Vendor">
      <formula>NOT(ISERROR(SEARCH("Mandtry-Vendor",B6)))</formula>
    </cfRule>
    <cfRule type="containsText" dxfId="29" priority="359" operator="containsText" text="Optional">
      <formula>NOT(ISERROR(SEARCH("Optional",B6)))</formula>
    </cfRule>
    <cfRule type="containsText" dxfId="28" priority="357" operator="containsText" text="Mandtry-BU">
      <formula>NOT(ISERROR(SEARCH("Mandtry-BU",B6)))</formula>
    </cfRule>
  </conditionalFormatting>
  <conditionalFormatting sqref="H50:I56 B58:I59 H62:I62 H64:I64 H73:I73 H77:I79 I80">
    <cfRule type="containsText" dxfId="27" priority="350" operator="containsText" text="Mandtry-SAP">
      <formula>NOT(ISERROR(SEARCH("Mandtry-SAP",B50)))</formula>
    </cfRule>
    <cfRule type="containsText" dxfId="26" priority="351" operator="containsText" text="Optional">
      <formula>NOT(ISERROR(SEARCH("Optional",B50)))</formula>
    </cfRule>
    <cfRule type="containsText" dxfId="25" priority="352" operator="containsText" text="Mandtry-Vendor">
      <formula>NOT(ISERROR(SEARCH("Mandtry-Vendor",B50)))</formula>
    </cfRule>
  </conditionalFormatting>
  <conditionalFormatting sqref="I118">
    <cfRule type="containsText" dxfId="24" priority="17" operator="containsText" text="Mandtry-BU">
      <formula>NOT(ISERROR(SEARCH("Mandtry-BU",I118)))</formula>
    </cfRule>
    <cfRule type="containsText" dxfId="23" priority="18" operator="containsText" text="Mandtry-SAP">
      <formula>NOT(ISERROR(SEARCH("Mandtry-SAP",I118)))</formula>
    </cfRule>
    <cfRule type="containsText" dxfId="22" priority="20" operator="containsText" text="Mandtry-Vendor">
      <formula>NOT(ISERROR(SEARCH("Mandtry-Vendor",I118)))</formula>
    </cfRule>
    <cfRule type="containsText" dxfId="21" priority="19" operator="containsText" text="Optional">
      <formula>NOT(ISERROR(SEARCH("Optional",I118)))</formula>
    </cfRule>
  </conditionalFormatting>
  <conditionalFormatting sqref="I5:J9 I11:J13 I18:K18 I21:K21 I23:K24 I26:K27 I29:K33 I35:K36 I40:K41 I43:K43 I45:K46 I48:K48 I50:K56 I58:K59 I62:K62 I64:K64 I73:K73 I77:I80 I69:K70 I82 G62:G133 B50:G52 B54:G56 B3:K3 A5:A133 B53:E53 C77:G80">
    <cfRule type="containsText" dxfId="20" priority="373" operator="containsText" text="Mandtry-BU">
      <formula>NOT(ISERROR(SEARCH("Mandtry-BU",A3)))</formula>
    </cfRule>
  </conditionalFormatting>
  <conditionalFormatting sqref="J6 J35 J41 H69:J70">
    <cfRule type="containsText" dxfId="19" priority="339" operator="containsText" text="Optional">
      <formula>NOT(ISERROR(SEARCH("Optional",H6)))</formula>
    </cfRule>
    <cfRule type="containsText" dxfId="18" priority="340" operator="containsText" text="Mandtry-Vendor">
      <formula>NOT(ISERROR(SEARCH("Mandtry-Vendor",H6)))</formula>
    </cfRule>
    <cfRule type="containsText" dxfId="17" priority="338" operator="containsText" text="Mandtry-SAP">
      <formula>NOT(ISERROR(SEARCH("Mandtry-SAP",H6)))</formula>
    </cfRule>
  </conditionalFormatting>
  <conditionalFormatting sqref="J6 J35 J41">
    <cfRule type="containsText" dxfId="16" priority="337" operator="containsText" text="Mandtry-BU">
      <formula>NOT(ISERROR(SEARCH("Mandtry-BU",J6)))</formula>
    </cfRule>
  </conditionalFormatting>
  <conditionalFormatting sqref="J119">
    <cfRule type="containsText" dxfId="15" priority="21" operator="containsText" text="Mandtry-BU">
      <formula>NOT(ISERROR(SEARCH("Mandtry-BU",J119)))</formula>
    </cfRule>
    <cfRule type="containsText" dxfId="14" priority="23" operator="containsText" text="Optional">
      <formula>NOT(ISERROR(SEARCH("Optional",J119)))</formula>
    </cfRule>
    <cfRule type="containsText" dxfId="13" priority="24" operator="containsText" text="Mandtry-Vendor">
      <formula>NOT(ISERROR(SEARCH("Mandtry-Vendor",J119)))</formula>
    </cfRule>
    <cfRule type="containsText" dxfId="12" priority="22" operator="containsText" text="Mandtry-SAP">
      <formula>NOT(ISERROR(SEARCH("Mandtry-SAP",J119)))</formula>
    </cfRule>
  </conditionalFormatting>
  <conditionalFormatting sqref="J77:K80 H82:K82">
    <cfRule type="containsText" dxfId="11" priority="336" operator="containsText" text="Mandtry-Vendor">
      <formula>NOT(ISERROR(SEARCH("Mandtry-Vendor",H77)))</formula>
    </cfRule>
    <cfRule type="containsText" dxfId="10" priority="335" operator="containsText" text="Optional">
      <formula>NOT(ISERROR(SEARCH("Optional",H77)))</formula>
    </cfRule>
    <cfRule type="containsText" dxfId="9" priority="334" operator="containsText" text="Mandtry-SAP">
      <formula>NOT(ISERROR(SEARCH("Mandtry-SAP",H77)))</formula>
    </cfRule>
  </conditionalFormatting>
  <conditionalFormatting sqref="J77:K80">
    <cfRule type="containsText" dxfId="8" priority="333" operator="containsText" text="Mandtry-BU">
      <formula>NOT(ISERROR(SEARCH("Mandtry-BU",J77)))</formula>
    </cfRule>
  </conditionalFormatting>
  <conditionalFormatting sqref="K5:K17 K56:K57 K65:K68 K71:K72 K83:K133">
    <cfRule type="containsText" dxfId="7" priority="66" operator="containsText" text="Mandtry-SAP">
      <formula>NOT(ISERROR(SEARCH("Mandtry-SAP",K5)))</formula>
    </cfRule>
    <cfRule type="containsText" dxfId="6" priority="65" operator="containsText" text="Mandtry-BU">
      <formula>NOT(ISERROR(SEARCH("Mandtry-BU",K5)))</formula>
    </cfRule>
    <cfRule type="containsText" dxfId="5" priority="67" operator="containsText" text="Optional">
      <formula>NOT(ISERROR(SEARCH("Optional",K5)))</formula>
    </cfRule>
    <cfRule type="containsText" dxfId="4" priority="68" operator="containsText" text="Mandtry-Vendor">
      <formula>NOT(ISERROR(SEARCH("Mandtry-Vendor",K5)))</formula>
    </cfRule>
  </conditionalFormatting>
  <conditionalFormatting sqref="K56">
    <cfRule type="containsText" dxfId="3" priority="190" operator="containsText" text="Mandtry-SAP">
      <formula>NOT(ISERROR(SEARCH("Mandtry-SAP",K56)))</formula>
    </cfRule>
    <cfRule type="containsText" dxfId="2" priority="192" operator="containsText" text="Mandtry-Vendor">
      <formula>NOT(ISERROR(SEARCH("Mandtry-Vendor",K56)))</formula>
    </cfRule>
    <cfRule type="containsText" dxfId="1" priority="191" operator="containsText" text="Optional">
      <formula>NOT(ISERROR(SEARCH("Optional",K56)))</formula>
    </cfRule>
    <cfRule type="containsText" dxfId="0" priority="189" operator="containsText" text="Mandtry-BU">
      <formula>NOT(ISERROR(SEARCH("Mandtry-BU",K56)))</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7FA3-3DF5-491D-A600-499003692DE4}">
  <sheetPr codeName="Sheet4"/>
  <dimension ref="A1:AC250"/>
  <sheetViews>
    <sheetView topLeftCell="F1" workbookViewId="0">
      <selection activeCell="C46" sqref="C46:F46"/>
    </sheetView>
  </sheetViews>
  <sheetFormatPr defaultRowHeight="14.5" outlineLevelCol="1"/>
  <cols>
    <col min="1" max="1" width="22.453125" hidden="1" customWidth="1" outlineLevel="1"/>
    <col min="2" max="2" width="25" style="23" hidden="1" customWidth="1" outlineLevel="1"/>
    <col min="3" max="3" width="20.1796875" hidden="1" customWidth="1" outlineLevel="1"/>
    <col min="4" max="4" width="27.81640625" hidden="1" customWidth="1" outlineLevel="1"/>
    <col min="5" max="5" width="33.453125" hidden="1" customWidth="1" outlineLevel="1"/>
    <col min="6" max="6" width="8.81640625" collapsed="1"/>
  </cols>
  <sheetData>
    <row r="1" spans="1:29">
      <c r="A1" s="21" t="s">
        <v>254</v>
      </c>
      <c r="B1" s="21" t="s">
        <v>255</v>
      </c>
      <c r="C1" s="21" t="s">
        <v>256</v>
      </c>
      <c r="D1" s="21" t="s">
        <v>64</v>
      </c>
      <c r="E1" s="21" t="s">
        <v>75</v>
      </c>
      <c r="F1" s="21"/>
      <c r="G1" s="21"/>
    </row>
    <row r="2" spans="1:29">
      <c r="A2" s="21" t="s">
        <v>94</v>
      </c>
      <c r="B2" s="22" t="s">
        <v>94</v>
      </c>
      <c r="C2" s="21" t="s">
        <v>94</v>
      </c>
      <c r="D2" s="21" t="s">
        <v>94</v>
      </c>
      <c r="E2" s="21" t="s">
        <v>94</v>
      </c>
      <c r="F2" s="21"/>
      <c r="G2" s="21"/>
    </row>
    <row r="3" spans="1:29">
      <c r="A3" s="23" t="s">
        <v>257</v>
      </c>
      <c r="B3" s="23" t="s">
        <v>258</v>
      </c>
      <c r="C3" s="23" t="s">
        <v>259</v>
      </c>
      <c r="D3" s="23" t="s">
        <v>123</v>
      </c>
      <c r="E3" s="23" t="s">
        <v>260</v>
      </c>
      <c r="F3" s="23"/>
      <c r="G3" s="23"/>
      <c r="H3" s="23"/>
      <c r="I3" s="23"/>
      <c r="J3" s="23"/>
      <c r="K3" s="23"/>
      <c r="L3" s="23"/>
      <c r="M3" s="23"/>
      <c r="N3" s="23"/>
      <c r="O3" s="23"/>
      <c r="P3" s="23"/>
      <c r="Q3" s="23"/>
      <c r="R3" s="23"/>
      <c r="S3" s="23"/>
      <c r="T3" s="23"/>
      <c r="U3" s="23"/>
      <c r="V3" s="23"/>
      <c r="W3" s="23"/>
      <c r="X3" s="23"/>
      <c r="Y3" s="23"/>
      <c r="Z3" s="23"/>
      <c r="AA3" s="23"/>
      <c r="AB3" s="23"/>
      <c r="AC3" s="23"/>
    </row>
    <row r="4" spans="1:29">
      <c r="A4" s="23" t="s">
        <v>261</v>
      </c>
      <c r="B4" s="23" t="s">
        <v>262</v>
      </c>
      <c r="C4" s="23" t="s">
        <v>263</v>
      </c>
      <c r="D4" s="23" t="s">
        <v>125</v>
      </c>
      <c r="E4" s="23" t="s">
        <v>263</v>
      </c>
      <c r="F4" s="23"/>
      <c r="G4" s="23"/>
      <c r="H4" s="23"/>
      <c r="I4" s="23"/>
      <c r="J4" s="23"/>
      <c r="K4" s="23"/>
      <c r="L4" s="23"/>
      <c r="M4" s="23"/>
      <c r="N4" s="23"/>
      <c r="O4" s="23"/>
      <c r="P4" s="23"/>
      <c r="Q4" s="23"/>
      <c r="R4" s="23"/>
      <c r="S4" s="23"/>
      <c r="T4" s="23"/>
      <c r="U4" s="23"/>
      <c r="V4" s="23"/>
      <c r="W4" s="23"/>
      <c r="X4" s="23"/>
      <c r="Y4" s="23"/>
      <c r="Z4" s="23"/>
      <c r="AA4" s="23"/>
      <c r="AB4" s="23"/>
      <c r="AC4" s="23"/>
    </row>
    <row r="5" spans="1:29">
      <c r="A5" s="23"/>
      <c r="C5" s="23"/>
      <c r="D5" s="23" t="s">
        <v>126</v>
      </c>
      <c r="E5" s="23"/>
      <c r="F5" s="23"/>
      <c r="G5" s="23"/>
      <c r="H5" s="23"/>
      <c r="I5" s="23"/>
      <c r="J5" s="23"/>
      <c r="K5" s="23"/>
      <c r="L5" s="23"/>
      <c r="M5" s="23"/>
      <c r="N5" s="23"/>
      <c r="O5" s="23"/>
      <c r="P5" s="23"/>
      <c r="Q5" s="23"/>
      <c r="R5" s="23"/>
      <c r="S5" s="23"/>
      <c r="T5" s="23"/>
      <c r="U5" s="23"/>
      <c r="V5" s="23"/>
      <c r="W5" s="23"/>
      <c r="X5" s="23"/>
      <c r="Y5" s="23"/>
      <c r="Z5" s="23"/>
      <c r="AA5" s="23"/>
      <c r="AB5" s="23"/>
      <c r="AC5" s="23"/>
    </row>
    <row r="6" spans="1:29">
      <c r="A6" s="23"/>
      <c r="C6" s="23"/>
      <c r="D6" s="23" t="s">
        <v>128</v>
      </c>
      <c r="E6" s="23"/>
      <c r="F6" s="23"/>
      <c r="G6" s="23"/>
      <c r="H6" s="23"/>
      <c r="I6" s="23"/>
      <c r="J6" s="23"/>
      <c r="K6" s="23"/>
      <c r="L6" s="23"/>
      <c r="M6" s="23"/>
      <c r="N6" s="23"/>
      <c r="O6" s="23"/>
      <c r="P6" s="23"/>
      <c r="Q6" s="23"/>
      <c r="R6" s="23"/>
      <c r="S6" s="23"/>
      <c r="T6" s="23"/>
      <c r="U6" s="23"/>
      <c r="V6" s="23"/>
      <c r="W6" s="23"/>
      <c r="X6" s="23"/>
      <c r="Y6" s="23"/>
      <c r="Z6" s="23"/>
      <c r="AA6" s="23"/>
      <c r="AB6" s="23"/>
      <c r="AC6" s="23"/>
    </row>
    <row r="7" spans="1:29">
      <c r="A7" s="23"/>
      <c r="C7" s="23"/>
      <c r="D7" s="23" t="s">
        <v>129</v>
      </c>
      <c r="E7" s="23"/>
      <c r="F7" s="23"/>
      <c r="G7" s="23"/>
      <c r="H7" s="23"/>
      <c r="I7" s="23"/>
      <c r="J7" s="23"/>
      <c r="K7" s="23"/>
      <c r="L7" s="23"/>
      <c r="M7" s="23"/>
      <c r="N7" s="23"/>
      <c r="O7" s="23"/>
      <c r="P7" s="23"/>
      <c r="Q7" s="23"/>
      <c r="R7" s="23"/>
      <c r="S7" s="23"/>
      <c r="T7" s="23"/>
      <c r="U7" s="23"/>
      <c r="V7" s="23"/>
      <c r="W7" s="23"/>
      <c r="X7" s="23"/>
      <c r="Y7" s="23"/>
      <c r="Z7" s="23"/>
      <c r="AA7" s="23"/>
      <c r="AB7" s="23"/>
      <c r="AC7" s="23"/>
    </row>
    <row r="8" spans="1:29">
      <c r="A8" s="23"/>
      <c r="C8" s="23"/>
      <c r="D8" s="23" t="s">
        <v>131</v>
      </c>
      <c r="E8" s="23"/>
      <c r="F8" s="23"/>
      <c r="G8" s="23"/>
      <c r="H8" s="23"/>
      <c r="I8" s="23"/>
      <c r="J8" s="23"/>
      <c r="K8" s="23"/>
      <c r="L8" s="23"/>
      <c r="M8" s="23"/>
      <c r="N8" s="23"/>
      <c r="O8" s="23"/>
      <c r="P8" s="23"/>
      <c r="Q8" s="23"/>
      <c r="R8" s="23"/>
      <c r="S8" s="23"/>
      <c r="T8" s="23"/>
      <c r="U8" s="23"/>
      <c r="V8" s="23"/>
      <c r="W8" s="23"/>
      <c r="X8" s="23"/>
      <c r="Y8" s="23"/>
      <c r="Z8" s="23"/>
      <c r="AA8" s="23"/>
      <c r="AB8" s="23"/>
      <c r="AC8" s="23"/>
    </row>
    <row r="9" spans="1:29">
      <c r="A9" s="23"/>
      <c r="C9" s="23"/>
      <c r="D9" s="23" t="s">
        <v>132</v>
      </c>
      <c r="E9" s="23"/>
      <c r="F9" s="23"/>
      <c r="G9" s="23"/>
      <c r="H9" s="23"/>
      <c r="I9" s="23"/>
      <c r="J9" s="23"/>
      <c r="K9" s="23"/>
      <c r="L9" s="23"/>
      <c r="M9" s="23"/>
      <c r="N9" s="23"/>
      <c r="O9" s="23"/>
      <c r="P9" s="23"/>
      <c r="Q9" s="23"/>
      <c r="R9" s="23"/>
      <c r="S9" s="23"/>
      <c r="T9" s="23"/>
      <c r="U9" s="23"/>
      <c r="V9" s="23"/>
      <c r="W9" s="23"/>
      <c r="X9" s="23"/>
      <c r="Y9" s="23"/>
      <c r="Z9" s="23"/>
      <c r="AA9" s="23"/>
      <c r="AB9" s="23"/>
      <c r="AC9" s="23"/>
    </row>
    <row r="10" spans="1:29">
      <c r="A10" s="23"/>
      <c r="C10" s="23"/>
      <c r="D10" s="23" t="s">
        <v>133</v>
      </c>
      <c r="E10" s="23"/>
      <c r="F10" s="23"/>
      <c r="G10" s="23"/>
      <c r="H10" s="23"/>
      <c r="I10" s="23"/>
      <c r="J10" s="23"/>
      <c r="K10" s="23"/>
      <c r="L10" s="23"/>
      <c r="M10" s="23"/>
      <c r="N10" s="23"/>
      <c r="O10" s="23"/>
      <c r="P10" s="23"/>
      <c r="Q10" s="23"/>
      <c r="R10" s="23"/>
      <c r="S10" s="23"/>
      <c r="T10" s="23"/>
      <c r="U10" s="23"/>
      <c r="V10" s="23"/>
      <c r="W10" s="23"/>
      <c r="X10" s="23"/>
      <c r="Y10" s="23"/>
      <c r="Z10" s="23"/>
      <c r="AA10" s="23"/>
      <c r="AB10" s="23"/>
      <c r="AC10" s="23"/>
    </row>
    <row r="11" spans="1:29">
      <c r="A11" s="23"/>
      <c r="C11" s="23"/>
      <c r="D11" s="23" t="s">
        <v>138</v>
      </c>
      <c r="E11" s="23"/>
      <c r="F11" s="23"/>
      <c r="G11" s="23"/>
      <c r="H11" s="23"/>
      <c r="I11" s="23"/>
      <c r="J11" s="23"/>
      <c r="K11" s="23"/>
      <c r="L11" s="23"/>
      <c r="M11" s="23"/>
      <c r="N11" s="23"/>
      <c r="O11" s="23"/>
      <c r="P11" s="23"/>
      <c r="Q11" s="23"/>
      <c r="R11" s="23"/>
      <c r="S11" s="23"/>
      <c r="T11" s="23"/>
      <c r="U11" s="23"/>
      <c r="V11" s="23"/>
      <c r="W11" s="23"/>
      <c r="X11" s="23"/>
      <c r="Y11" s="23"/>
      <c r="Z11" s="23"/>
      <c r="AA11" s="23"/>
      <c r="AB11" s="23"/>
      <c r="AC11" s="23"/>
    </row>
    <row r="12" spans="1:29">
      <c r="A12" s="23"/>
      <c r="C12" s="23"/>
      <c r="D12" s="23" t="s">
        <v>141</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row>
    <row r="13" spans="1:29">
      <c r="A13" s="23"/>
      <c r="C13" s="23"/>
      <c r="D13" s="23" t="s">
        <v>143</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row>
    <row r="14" spans="1:29">
      <c r="A14" s="23"/>
      <c r="C14" s="23"/>
      <c r="D14" s="23" t="s">
        <v>144</v>
      </c>
      <c r="E14" s="23"/>
      <c r="F14" s="23"/>
      <c r="G14" s="23"/>
      <c r="H14" s="23"/>
      <c r="I14" s="23"/>
      <c r="J14" s="23"/>
      <c r="K14" s="23"/>
      <c r="L14" s="23"/>
      <c r="M14" s="23"/>
      <c r="N14" s="23"/>
      <c r="O14" s="23"/>
      <c r="P14" s="23"/>
      <c r="Q14" s="23"/>
      <c r="R14" s="23"/>
      <c r="S14" s="23"/>
      <c r="T14" s="23"/>
      <c r="U14" s="23"/>
      <c r="V14" s="23"/>
      <c r="W14" s="23"/>
      <c r="X14" s="23"/>
      <c r="Y14" s="23"/>
      <c r="Z14" s="23"/>
      <c r="AA14" s="23"/>
      <c r="AB14" s="23"/>
      <c r="AC14" s="23"/>
    </row>
    <row r="15" spans="1:29">
      <c r="A15" s="23"/>
      <c r="C15" s="23"/>
      <c r="D15" s="23" t="s">
        <v>146</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row>
    <row r="16" spans="1:29">
      <c r="A16" s="23"/>
      <c r="C16" s="23"/>
      <c r="D16" s="23" t="s">
        <v>147</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row>
    <row r="17" spans="1:29">
      <c r="A17" s="23"/>
      <c r="C17" s="23"/>
      <c r="D17" s="23" t="s">
        <v>149</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row>
    <row r="18" spans="1:29">
      <c r="A18" s="23"/>
      <c r="C18" s="23"/>
      <c r="D18" s="23" t="s">
        <v>150</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row>
    <row r="19" spans="1:29">
      <c r="A19" s="23"/>
      <c r="C19" s="23"/>
      <c r="D19" s="23" t="s">
        <v>151</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row>
    <row r="20" spans="1:29">
      <c r="A20" s="23"/>
      <c r="C20" s="23"/>
      <c r="D20" s="23" t="s">
        <v>152</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row>
    <row r="21" spans="1:29">
      <c r="A21" s="23"/>
      <c r="C21" s="23"/>
      <c r="D21" s="23" t="s">
        <v>153</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row>
    <row r="22" spans="1:29">
      <c r="A22" s="23"/>
      <c r="C22" s="23"/>
      <c r="D22" s="23" t="s">
        <v>155</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row>
    <row r="23" spans="1:29">
      <c r="A23" s="23"/>
      <c r="C23" s="23"/>
      <c r="D23" s="23" t="s">
        <v>156</v>
      </c>
      <c r="E23" s="23"/>
      <c r="F23" s="23"/>
      <c r="G23" s="23"/>
      <c r="H23" s="23"/>
      <c r="I23" s="23"/>
      <c r="J23" s="23"/>
      <c r="K23" s="23"/>
      <c r="L23" s="23"/>
      <c r="M23" s="23"/>
      <c r="N23" s="23"/>
      <c r="O23" s="23"/>
      <c r="P23" s="23"/>
      <c r="Q23" s="23"/>
      <c r="R23" s="23"/>
      <c r="S23" s="23"/>
      <c r="T23" s="23"/>
      <c r="U23" s="23"/>
      <c r="V23" s="23"/>
      <c r="W23" s="23"/>
      <c r="X23" s="23"/>
      <c r="Y23" s="23"/>
      <c r="Z23" s="23"/>
      <c r="AA23" s="23"/>
      <c r="AB23" s="23"/>
      <c r="AC23" s="23"/>
    </row>
    <row r="24" spans="1:29">
      <c r="A24" s="23"/>
      <c r="C24" s="23"/>
      <c r="D24" s="23" t="s">
        <v>160</v>
      </c>
      <c r="E24" s="23"/>
      <c r="F24" s="23"/>
      <c r="G24" s="23"/>
      <c r="H24" s="23"/>
      <c r="I24" s="23"/>
      <c r="J24" s="23"/>
      <c r="K24" s="23"/>
      <c r="L24" s="23"/>
      <c r="M24" s="23"/>
      <c r="N24" s="23"/>
      <c r="O24" s="23"/>
      <c r="P24" s="23"/>
      <c r="Q24" s="23"/>
      <c r="R24" s="23"/>
      <c r="S24" s="23"/>
      <c r="T24" s="23"/>
      <c r="U24" s="23"/>
      <c r="V24" s="23"/>
      <c r="W24" s="23"/>
      <c r="X24" s="23"/>
      <c r="Y24" s="23"/>
      <c r="Z24" s="23"/>
      <c r="AA24" s="23"/>
      <c r="AB24" s="23"/>
      <c r="AC24" s="23"/>
    </row>
    <row r="25" spans="1:29">
      <c r="A25" s="23"/>
      <c r="C25" s="23"/>
      <c r="D25" s="23" t="s">
        <v>161</v>
      </c>
      <c r="E25" s="23"/>
      <c r="F25" s="23"/>
      <c r="G25" s="23"/>
      <c r="H25" s="23"/>
      <c r="I25" s="23"/>
      <c r="J25" s="23"/>
      <c r="K25" s="23"/>
      <c r="L25" s="23"/>
      <c r="M25" s="23"/>
      <c r="N25" s="23"/>
      <c r="O25" s="23"/>
      <c r="P25" s="23"/>
      <c r="Q25" s="23"/>
      <c r="R25" s="23"/>
      <c r="S25" s="23"/>
      <c r="T25" s="23"/>
      <c r="U25" s="23"/>
      <c r="V25" s="23"/>
      <c r="W25" s="23"/>
      <c r="X25" s="23"/>
      <c r="Y25" s="23"/>
      <c r="Z25" s="23"/>
      <c r="AA25" s="23"/>
      <c r="AB25" s="23"/>
      <c r="AC25" s="23"/>
    </row>
    <row r="26" spans="1:29">
      <c r="A26" s="23"/>
      <c r="C26" s="23"/>
      <c r="D26" s="23" t="s">
        <v>163</v>
      </c>
      <c r="E26" s="23"/>
      <c r="F26" s="23"/>
      <c r="G26" s="23"/>
      <c r="H26" s="23"/>
      <c r="I26" s="23"/>
      <c r="J26" s="23"/>
      <c r="K26" s="23"/>
      <c r="L26" s="23"/>
      <c r="M26" s="23"/>
      <c r="N26" s="23"/>
      <c r="O26" s="23"/>
      <c r="P26" s="23"/>
      <c r="Q26" s="23"/>
      <c r="R26" s="23"/>
      <c r="S26" s="23"/>
      <c r="T26" s="23"/>
      <c r="U26" s="23"/>
      <c r="V26" s="23"/>
      <c r="W26" s="23"/>
      <c r="X26" s="23"/>
      <c r="Y26" s="23"/>
      <c r="Z26" s="23"/>
      <c r="AA26" s="23"/>
      <c r="AB26" s="23"/>
      <c r="AC26" s="23"/>
    </row>
    <row r="27" spans="1:29">
      <c r="A27" s="23"/>
      <c r="C27" s="23"/>
      <c r="D27" s="23" t="s">
        <v>165</v>
      </c>
      <c r="E27" s="23"/>
      <c r="F27" s="23"/>
      <c r="G27" s="23"/>
      <c r="H27" s="23"/>
      <c r="I27" s="23"/>
      <c r="J27" s="23"/>
      <c r="K27" s="23"/>
      <c r="L27" s="23"/>
      <c r="M27" s="23"/>
      <c r="N27" s="23"/>
      <c r="O27" s="23"/>
      <c r="P27" s="23"/>
      <c r="Q27" s="23"/>
      <c r="R27" s="23"/>
      <c r="S27" s="23"/>
      <c r="T27" s="23"/>
      <c r="U27" s="23"/>
      <c r="V27" s="23"/>
      <c r="W27" s="23"/>
      <c r="X27" s="23"/>
      <c r="Y27" s="23"/>
      <c r="Z27" s="23"/>
      <c r="AA27" s="23"/>
      <c r="AB27" s="23"/>
      <c r="AC27" s="23"/>
    </row>
    <row r="28" spans="1:29">
      <c r="A28" s="23"/>
      <c r="C28" s="23"/>
      <c r="D28" s="23" t="s">
        <v>166</v>
      </c>
      <c r="E28" s="23"/>
      <c r="F28" s="23"/>
      <c r="G28" s="23"/>
      <c r="H28" s="23"/>
      <c r="I28" s="23"/>
      <c r="J28" s="23"/>
      <c r="K28" s="23"/>
      <c r="L28" s="23"/>
      <c r="M28" s="23"/>
      <c r="N28" s="23"/>
      <c r="O28" s="23"/>
      <c r="P28" s="23"/>
      <c r="Q28" s="23"/>
      <c r="R28" s="23"/>
      <c r="S28" s="23"/>
      <c r="T28" s="23"/>
      <c r="U28" s="23"/>
      <c r="V28" s="23"/>
      <c r="W28" s="23"/>
      <c r="X28" s="23"/>
      <c r="Y28" s="23"/>
      <c r="Z28" s="23"/>
      <c r="AA28" s="23"/>
      <c r="AB28" s="23"/>
      <c r="AC28" s="23"/>
    </row>
    <row r="29" spans="1:29">
      <c r="A29" s="23"/>
      <c r="C29" s="23"/>
      <c r="D29" s="23" t="s">
        <v>168</v>
      </c>
      <c r="E29" s="23"/>
      <c r="F29" s="23"/>
      <c r="G29" s="23"/>
      <c r="H29" s="23"/>
      <c r="I29" s="23"/>
      <c r="J29" s="23"/>
      <c r="K29" s="23"/>
      <c r="L29" s="23"/>
      <c r="M29" s="23"/>
      <c r="N29" s="23"/>
      <c r="O29" s="23"/>
      <c r="P29" s="23"/>
      <c r="Q29" s="23"/>
      <c r="R29" s="23"/>
      <c r="S29" s="23"/>
      <c r="T29" s="23"/>
      <c r="U29" s="23"/>
      <c r="V29" s="23"/>
      <c r="W29" s="23"/>
      <c r="X29" s="23"/>
      <c r="Y29" s="23"/>
      <c r="Z29" s="23"/>
      <c r="AA29" s="23"/>
      <c r="AB29" s="23"/>
      <c r="AC29" s="23"/>
    </row>
    <row r="30" spans="1:29">
      <c r="A30" s="23"/>
      <c r="C30" s="23"/>
      <c r="D30" s="23" t="s">
        <v>170</v>
      </c>
      <c r="E30" s="23"/>
      <c r="F30" s="23"/>
      <c r="G30" s="23"/>
      <c r="H30" s="23"/>
      <c r="I30" s="23"/>
      <c r="J30" s="23"/>
      <c r="K30" s="23"/>
      <c r="L30" s="23"/>
      <c r="M30" s="23"/>
      <c r="N30" s="23"/>
      <c r="O30" s="23"/>
      <c r="P30" s="23"/>
      <c r="Q30" s="23"/>
      <c r="R30" s="23"/>
      <c r="S30" s="23"/>
      <c r="T30" s="23"/>
      <c r="U30" s="23"/>
      <c r="V30" s="23"/>
      <c r="W30" s="23"/>
      <c r="X30" s="23"/>
      <c r="Y30" s="23"/>
      <c r="Z30" s="23"/>
      <c r="AA30" s="23"/>
      <c r="AB30" s="23"/>
      <c r="AC30" s="23"/>
    </row>
    <row r="31" spans="1:29">
      <c r="A31" s="23"/>
      <c r="C31" s="23"/>
      <c r="D31" s="23" t="s">
        <v>171</v>
      </c>
      <c r="E31" s="23"/>
      <c r="F31" s="23"/>
      <c r="G31" s="23"/>
      <c r="H31" s="23"/>
      <c r="I31" s="23"/>
      <c r="J31" s="23"/>
      <c r="K31" s="23"/>
      <c r="L31" s="23"/>
      <c r="M31" s="23"/>
      <c r="N31" s="23"/>
      <c r="O31" s="23"/>
      <c r="P31" s="23"/>
      <c r="Q31" s="23"/>
      <c r="R31" s="23"/>
      <c r="S31" s="23"/>
      <c r="T31" s="23"/>
      <c r="U31" s="23"/>
      <c r="V31" s="23"/>
      <c r="W31" s="23"/>
      <c r="X31" s="23"/>
      <c r="Y31" s="23"/>
      <c r="Z31" s="23"/>
      <c r="AA31" s="23"/>
      <c r="AB31" s="23"/>
      <c r="AC31" s="23"/>
    </row>
    <row r="32" spans="1:29">
      <c r="A32" s="23"/>
      <c r="C32" s="23"/>
      <c r="D32" s="23" t="s">
        <v>172</v>
      </c>
      <c r="E32" s="23"/>
      <c r="F32" s="23"/>
      <c r="G32" s="23"/>
      <c r="H32" s="23"/>
      <c r="I32" s="23"/>
      <c r="J32" s="23"/>
      <c r="K32" s="23"/>
      <c r="L32" s="23"/>
      <c r="M32" s="23"/>
      <c r="N32" s="23"/>
      <c r="O32" s="23"/>
      <c r="P32" s="23"/>
      <c r="Q32" s="23"/>
      <c r="R32" s="23"/>
      <c r="S32" s="23"/>
      <c r="T32" s="23"/>
      <c r="U32" s="23"/>
      <c r="V32" s="23"/>
      <c r="W32" s="23"/>
      <c r="X32" s="23"/>
      <c r="Y32" s="23"/>
      <c r="Z32" s="23"/>
      <c r="AA32" s="23"/>
      <c r="AB32" s="23"/>
      <c r="AC32" s="23"/>
    </row>
    <row r="33" spans="1:29">
      <c r="A33" s="23"/>
      <c r="C33" s="23"/>
      <c r="D33" s="23" t="s">
        <v>173</v>
      </c>
      <c r="E33" s="23"/>
      <c r="F33" s="23"/>
      <c r="G33" s="23"/>
      <c r="H33" s="23"/>
      <c r="I33" s="23"/>
      <c r="J33" s="23"/>
      <c r="K33" s="23"/>
      <c r="L33" s="23"/>
      <c r="M33" s="23"/>
      <c r="N33" s="23"/>
      <c r="O33" s="23"/>
      <c r="P33" s="23"/>
      <c r="Q33" s="23"/>
      <c r="R33" s="23"/>
      <c r="S33" s="23"/>
      <c r="T33" s="23"/>
      <c r="U33" s="23"/>
      <c r="V33" s="23"/>
      <c r="W33" s="23"/>
      <c r="X33" s="23"/>
      <c r="Y33" s="23"/>
      <c r="Z33" s="23"/>
      <c r="AA33" s="23"/>
      <c r="AB33" s="23"/>
      <c r="AC33" s="23"/>
    </row>
    <row r="34" spans="1:29">
      <c r="A34" s="23"/>
      <c r="C34" s="23"/>
      <c r="D34" s="23" t="s">
        <v>174</v>
      </c>
      <c r="E34" s="23"/>
      <c r="F34" s="23"/>
      <c r="G34" s="23"/>
      <c r="H34" s="23"/>
      <c r="I34" s="23"/>
      <c r="J34" s="23"/>
      <c r="K34" s="23"/>
      <c r="L34" s="23"/>
      <c r="M34" s="23"/>
      <c r="N34" s="23"/>
      <c r="O34" s="23"/>
      <c r="P34" s="23"/>
      <c r="Q34" s="23"/>
      <c r="R34" s="23"/>
      <c r="S34" s="23"/>
      <c r="T34" s="23"/>
      <c r="U34" s="23"/>
      <c r="V34" s="23"/>
      <c r="W34" s="23"/>
      <c r="X34" s="23"/>
      <c r="Y34" s="23"/>
      <c r="Z34" s="23"/>
      <c r="AA34" s="23"/>
      <c r="AB34" s="23"/>
      <c r="AC34" s="23"/>
    </row>
    <row r="35" spans="1:29">
      <c r="A35" s="23"/>
      <c r="C35" s="23"/>
      <c r="D35" s="23" t="s">
        <v>175</v>
      </c>
      <c r="E35" s="23"/>
      <c r="F35" s="23"/>
      <c r="G35" s="23"/>
      <c r="H35" s="23"/>
      <c r="I35" s="23"/>
      <c r="J35" s="23"/>
      <c r="K35" s="23"/>
      <c r="L35" s="23"/>
      <c r="M35" s="23"/>
      <c r="N35" s="23"/>
      <c r="O35" s="23"/>
      <c r="P35" s="23"/>
      <c r="Q35" s="23"/>
      <c r="R35" s="23"/>
      <c r="S35" s="23"/>
      <c r="T35" s="23"/>
      <c r="U35" s="23"/>
      <c r="V35" s="23"/>
      <c r="W35" s="23"/>
      <c r="X35" s="23"/>
      <c r="Y35" s="23"/>
      <c r="Z35" s="23"/>
      <c r="AA35" s="23"/>
      <c r="AB35" s="23"/>
      <c r="AC35" s="23"/>
    </row>
    <row r="36" spans="1:29">
      <c r="A36" s="23"/>
      <c r="C36" s="23"/>
      <c r="D36" s="23" t="s">
        <v>176</v>
      </c>
      <c r="E36" s="23"/>
      <c r="F36" s="23"/>
      <c r="G36" s="23"/>
      <c r="H36" s="23"/>
      <c r="I36" s="23"/>
      <c r="J36" s="23"/>
      <c r="K36" s="23"/>
      <c r="L36" s="23"/>
      <c r="M36" s="23"/>
      <c r="N36" s="23"/>
      <c r="O36" s="23"/>
      <c r="P36" s="23"/>
      <c r="Q36" s="23"/>
      <c r="R36" s="23"/>
      <c r="S36" s="23"/>
      <c r="T36" s="23"/>
      <c r="U36" s="23"/>
      <c r="V36" s="23"/>
      <c r="W36" s="23"/>
      <c r="X36" s="23"/>
      <c r="Y36" s="23"/>
      <c r="Z36" s="23"/>
      <c r="AA36" s="23"/>
      <c r="AB36" s="23"/>
      <c r="AC36" s="23"/>
    </row>
    <row r="37" spans="1:29">
      <c r="A37" s="23"/>
      <c r="C37" s="23"/>
      <c r="D37" s="23" t="s">
        <v>178</v>
      </c>
      <c r="E37" s="23"/>
      <c r="F37" s="23"/>
      <c r="G37" s="23"/>
      <c r="H37" s="23"/>
      <c r="I37" s="23"/>
      <c r="J37" s="23"/>
      <c r="K37" s="23"/>
      <c r="L37" s="23"/>
      <c r="M37" s="23"/>
      <c r="N37" s="23"/>
      <c r="O37" s="23"/>
      <c r="P37" s="23"/>
      <c r="Q37" s="23"/>
      <c r="R37" s="23"/>
      <c r="S37" s="23"/>
      <c r="T37" s="23"/>
      <c r="U37" s="23"/>
      <c r="V37" s="23"/>
      <c r="W37" s="23"/>
      <c r="X37" s="23"/>
      <c r="Y37" s="23"/>
      <c r="Z37" s="23"/>
      <c r="AA37" s="23"/>
      <c r="AB37" s="23"/>
      <c r="AC37" s="23"/>
    </row>
    <row r="38" spans="1:29">
      <c r="A38" s="23"/>
      <c r="C38" s="23"/>
      <c r="D38" s="23" t="s">
        <v>179</v>
      </c>
      <c r="E38" s="23"/>
      <c r="F38" s="23"/>
      <c r="G38" s="23"/>
      <c r="H38" s="23"/>
      <c r="I38" s="23"/>
      <c r="J38" s="23"/>
      <c r="K38" s="23"/>
      <c r="L38" s="23"/>
      <c r="M38" s="23"/>
      <c r="N38" s="23"/>
      <c r="O38" s="23"/>
      <c r="P38" s="23"/>
      <c r="Q38" s="23"/>
      <c r="R38" s="23"/>
      <c r="S38" s="23"/>
      <c r="T38" s="23"/>
      <c r="U38" s="23"/>
      <c r="V38" s="23"/>
      <c r="W38" s="23"/>
      <c r="X38" s="23"/>
      <c r="Y38" s="23"/>
      <c r="Z38" s="23"/>
      <c r="AA38" s="23"/>
      <c r="AB38" s="23"/>
      <c r="AC38" s="23"/>
    </row>
    <row r="39" spans="1:29">
      <c r="A39" s="23"/>
      <c r="C39" s="23"/>
      <c r="D39" s="23" t="s">
        <v>182</v>
      </c>
      <c r="E39" s="23"/>
      <c r="F39" s="23"/>
      <c r="G39" s="23"/>
      <c r="H39" s="23"/>
      <c r="I39" s="23"/>
      <c r="J39" s="23"/>
      <c r="K39" s="23"/>
      <c r="L39" s="23"/>
      <c r="M39" s="23"/>
      <c r="N39" s="23"/>
      <c r="O39" s="23"/>
      <c r="P39" s="23"/>
      <c r="Q39" s="23"/>
      <c r="R39" s="23"/>
      <c r="S39" s="23"/>
      <c r="T39" s="23"/>
      <c r="U39" s="23"/>
      <c r="V39" s="23"/>
      <c r="W39" s="23"/>
      <c r="X39" s="23"/>
      <c r="Y39" s="23"/>
      <c r="Z39" s="23"/>
      <c r="AA39" s="23"/>
      <c r="AB39" s="23"/>
      <c r="AC39" s="23"/>
    </row>
    <row r="40" spans="1:29">
      <c r="A40" s="23"/>
      <c r="C40" s="23"/>
      <c r="D40" s="23" t="s">
        <v>184</v>
      </c>
      <c r="E40" s="23"/>
      <c r="F40" s="23"/>
      <c r="G40" s="23"/>
      <c r="H40" s="23"/>
      <c r="I40" s="23"/>
      <c r="J40" s="23"/>
      <c r="K40" s="23"/>
      <c r="L40" s="23"/>
      <c r="M40" s="23"/>
      <c r="N40" s="23"/>
      <c r="O40" s="23"/>
      <c r="P40" s="23"/>
      <c r="Q40" s="23"/>
      <c r="R40" s="23"/>
      <c r="S40" s="23"/>
      <c r="T40" s="23"/>
      <c r="U40" s="23"/>
      <c r="V40" s="23"/>
      <c r="W40" s="23"/>
      <c r="X40" s="23"/>
      <c r="Y40" s="23"/>
      <c r="Z40" s="23"/>
      <c r="AA40" s="23"/>
      <c r="AB40" s="23"/>
      <c r="AC40" s="23"/>
    </row>
    <row r="41" spans="1:29">
      <c r="A41" s="23"/>
      <c r="C41" s="23"/>
      <c r="D41" s="23" t="s">
        <v>189</v>
      </c>
      <c r="E41" s="23"/>
      <c r="F41" s="23"/>
      <c r="G41" s="23"/>
      <c r="H41" s="23"/>
      <c r="I41" s="23"/>
      <c r="J41" s="23"/>
      <c r="K41" s="23"/>
      <c r="L41" s="23"/>
      <c r="M41" s="23"/>
      <c r="N41" s="23"/>
      <c r="O41" s="23"/>
      <c r="P41" s="23"/>
      <c r="Q41" s="23"/>
      <c r="R41" s="23"/>
      <c r="S41" s="23"/>
      <c r="T41" s="23"/>
      <c r="U41" s="23"/>
      <c r="V41" s="23"/>
      <c r="W41" s="23"/>
      <c r="X41" s="23"/>
      <c r="Y41" s="23"/>
      <c r="Z41" s="23"/>
      <c r="AA41" s="23"/>
      <c r="AB41" s="23"/>
      <c r="AC41" s="23"/>
    </row>
    <row r="42" spans="1:29">
      <c r="A42" s="23"/>
      <c r="C42" s="23"/>
      <c r="D42" s="23" t="s">
        <v>190</v>
      </c>
      <c r="E42" s="23"/>
      <c r="F42" s="23"/>
      <c r="G42" s="23"/>
      <c r="H42" s="23"/>
      <c r="I42" s="23"/>
      <c r="J42" s="23"/>
      <c r="K42" s="23"/>
      <c r="L42" s="23"/>
      <c r="M42" s="23"/>
      <c r="N42" s="23"/>
      <c r="O42" s="23"/>
      <c r="P42" s="23"/>
      <c r="Q42" s="23"/>
      <c r="R42" s="23"/>
      <c r="S42" s="23"/>
      <c r="T42" s="23"/>
      <c r="U42" s="23"/>
      <c r="V42" s="23"/>
      <c r="W42" s="23"/>
      <c r="X42" s="23"/>
      <c r="Y42" s="23"/>
      <c r="Z42" s="23"/>
      <c r="AA42" s="23"/>
      <c r="AB42" s="23"/>
      <c r="AC42" s="23"/>
    </row>
    <row r="43" spans="1:29">
      <c r="A43" s="23"/>
      <c r="C43" s="23"/>
      <c r="D43" s="23" t="s">
        <v>193</v>
      </c>
      <c r="E43" s="23"/>
      <c r="F43" s="23"/>
      <c r="G43" s="23"/>
      <c r="H43" s="23"/>
      <c r="I43" s="23"/>
      <c r="J43" s="23"/>
      <c r="K43" s="23"/>
      <c r="L43" s="23"/>
      <c r="M43" s="23"/>
      <c r="N43" s="23"/>
      <c r="O43" s="23"/>
      <c r="P43" s="23"/>
      <c r="Q43" s="23"/>
      <c r="R43" s="23"/>
      <c r="S43" s="23"/>
      <c r="T43" s="23"/>
      <c r="U43" s="23"/>
      <c r="V43" s="23"/>
      <c r="W43" s="23"/>
      <c r="X43" s="23"/>
      <c r="Y43" s="23"/>
      <c r="Z43" s="23"/>
      <c r="AA43" s="23"/>
      <c r="AB43" s="23"/>
      <c r="AC43" s="23"/>
    </row>
    <row r="44" spans="1:29">
      <c r="A44" s="23"/>
      <c r="C44" s="23"/>
      <c r="D44" s="23" t="s">
        <v>197</v>
      </c>
      <c r="E44" s="23"/>
      <c r="F44" s="23"/>
      <c r="G44" s="23"/>
      <c r="H44" s="23"/>
      <c r="I44" s="23"/>
      <c r="J44" s="23"/>
      <c r="K44" s="23"/>
      <c r="L44" s="23"/>
      <c r="M44" s="23"/>
      <c r="N44" s="23"/>
      <c r="O44" s="23"/>
      <c r="P44" s="23"/>
      <c r="Q44" s="23"/>
      <c r="R44" s="23"/>
      <c r="S44" s="23"/>
      <c r="T44" s="23"/>
      <c r="U44" s="23"/>
      <c r="V44" s="23"/>
      <c r="W44" s="23"/>
      <c r="X44" s="23"/>
      <c r="Y44" s="23"/>
      <c r="Z44" s="23"/>
      <c r="AA44" s="23"/>
      <c r="AB44" s="23"/>
      <c r="AC44" s="23"/>
    </row>
    <row r="45" spans="1:29">
      <c r="A45" s="23"/>
      <c r="C45" s="23"/>
      <c r="D45" s="23" t="s">
        <v>198</v>
      </c>
      <c r="E45" s="23"/>
      <c r="F45" s="23"/>
      <c r="G45" s="23"/>
      <c r="H45" s="23"/>
      <c r="I45" s="23"/>
      <c r="J45" s="23"/>
      <c r="K45" s="23"/>
      <c r="L45" s="23"/>
      <c r="M45" s="23"/>
      <c r="N45" s="23"/>
      <c r="O45" s="23"/>
      <c r="P45" s="23"/>
      <c r="Q45" s="23"/>
      <c r="R45" s="23"/>
      <c r="S45" s="23"/>
      <c r="T45" s="23"/>
      <c r="U45" s="23"/>
      <c r="V45" s="23"/>
      <c r="W45" s="23"/>
      <c r="X45" s="23"/>
      <c r="Y45" s="23"/>
      <c r="Z45" s="23"/>
      <c r="AA45" s="23"/>
      <c r="AB45" s="23"/>
      <c r="AC45" s="23"/>
    </row>
    <row r="46" spans="1:29">
      <c r="A46" s="23"/>
      <c r="C46" s="23"/>
      <c r="D46" s="23" t="s">
        <v>199</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row>
    <row r="47" spans="1:29">
      <c r="A47" s="23"/>
      <c r="C47" s="23"/>
      <c r="D47" s="23" t="s">
        <v>200</v>
      </c>
      <c r="E47" s="23"/>
      <c r="F47" s="23"/>
      <c r="G47" s="23"/>
      <c r="H47" s="23"/>
      <c r="I47" s="23"/>
      <c r="J47" s="23"/>
      <c r="K47" s="23"/>
      <c r="L47" s="23"/>
      <c r="M47" s="23"/>
      <c r="N47" s="23"/>
      <c r="O47" s="23"/>
      <c r="P47" s="23"/>
      <c r="Q47" s="23"/>
      <c r="R47" s="23"/>
      <c r="S47" s="23"/>
      <c r="T47" s="23"/>
      <c r="U47" s="23"/>
      <c r="V47" s="23"/>
      <c r="W47" s="23"/>
      <c r="X47" s="23"/>
      <c r="Y47" s="23"/>
      <c r="Z47" s="23"/>
      <c r="AA47" s="23"/>
      <c r="AB47" s="23"/>
      <c r="AC47" s="23"/>
    </row>
    <row r="48" spans="1:29">
      <c r="A48" s="23"/>
      <c r="C48" s="23"/>
      <c r="D48" s="23" t="s">
        <v>202</v>
      </c>
      <c r="E48" s="23"/>
      <c r="F48" s="23"/>
      <c r="G48" s="23"/>
      <c r="H48" s="23"/>
      <c r="I48" s="23"/>
      <c r="J48" s="23"/>
      <c r="K48" s="23"/>
      <c r="L48" s="23"/>
      <c r="M48" s="23"/>
      <c r="N48" s="23"/>
      <c r="O48" s="23"/>
      <c r="P48" s="23"/>
      <c r="Q48" s="23"/>
      <c r="R48" s="23"/>
      <c r="S48" s="23"/>
      <c r="T48" s="23"/>
      <c r="U48" s="23"/>
      <c r="V48" s="23"/>
      <c r="W48" s="23"/>
      <c r="X48" s="23"/>
      <c r="Y48" s="23"/>
      <c r="Z48" s="23"/>
      <c r="AA48" s="23"/>
      <c r="AB48" s="23"/>
      <c r="AC48" s="23"/>
    </row>
    <row r="49" spans="1:29">
      <c r="A49" s="23"/>
      <c r="C49" s="23"/>
      <c r="D49" s="23" t="s">
        <v>207</v>
      </c>
      <c r="E49" s="23"/>
      <c r="F49" s="23"/>
      <c r="G49" s="23"/>
      <c r="H49" s="23"/>
      <c r="I49" s="23"/>
      <c r="J49" s="23"/>
      <c r="K49" s="23"/>
      <c r="L49" s="23"/>
      <c r="M49" s="23"/>
      <c r="N49" s="23"/>
      <c r="O49" s="23"/>
      <c r="P49" s="23"/>
      <c r="Q49" s="23"/>
      <c r="R49" s="23"/>
      <c r="S49" s="23"/>
      <c r="T49" s="23"/>
      <c r="U49" s="23"/>
      <c r="V49" s="23"/>
      <c r="W49" s="23"/>
      <c r="X49" s="23"/>
      <c r="Y49" s="23"/>
      <c r="Z49" s="23"/>
      <c r="AA49" s="23"/>
      <c r="AB49" s="23"/>
      <c r="AC49" s="23"/>
    </row>
    <row r="50" spans="1:29">
      <c r="A50" s="23"/>
      <c r="C50" s="23"/>
      <c r="D50" s="23" t="s">
        <v>208</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row>
    <row r="51" spans="1:29">
      <c r="A51" s="23"/>
      <c r="C51" s="23"/>
      <c r="D51" s="23" t="s">
        <v>211</v>
      </c>
      <c r="E51" s="23"/>
      <c r="F51" s="23"/>
      <c r="G51" s="23"/>
      <c r="H51" s="23"/>
      <c r="I51" s="23"/>
      <c r="J51" s="23"/>
      <c r="K51" s="23"/>
      <c r="L51" s="23"/>
      <c r="M51" s="23"/>
      <c r="N51" s="23"/>
      <c r="O51" s="23"/>
      <c r="P51" s="23"/>
      <c r="Q51" s="23"/>
      <c r="R51" s="23"/>
      <c r="S51" s="23"/>
      <c r="T51" s="23"/>
      <c r="U51" s="23"/>
      <c r="V51" s="23"/>
      <c r="W51" s="23"/>
      <c r="X51" s="23"/>
      <c r="Y51" s="23"/>
      <c r="Z51" s="23"/>
      <c r="AA51" s="23"/>
      <c r="AB51" s="23"/>
      <c r="AC51" s="23"/>
    </row>
    <row r="52" spans="1:29">
      <c r="A52" s="23"/>
      <c r="C52" s="23"/>
      <c r="D52" s="23" t="s">
        <v>212</v>
      </c>
      <c r="E52" s="23"/>
      <c r="F52" s="23"/>
      <c r="G52" s="23"/>
      <c r="H52" s="23"/>
      <c r="I52" s="23"/>
      <c r="J52" s="23"/>
      <c r="K52" s="23"/>
      <c r="L52" s="23"/>
      <c r="M52" s="23"/>
      <c r="N52" s="23"/>
      <c r="O52" s="23"/>
      <c r="P52" s="23"/>
      <c r="Q52" s="23"/>
      <c r="R52" s="23"/>
      <c r="S52" s="23"/>
      <c r="T52" s="23"/>
      <c r="U52" s="23"/>
      <c r="V52" s="23"/>
      <c r="W52" s="23"/>
      <c r="X52" s="23"/>
      <c r="Y52" s="23"/>
      <c r="Z52" s="23"/>
      <c r="AA52" s="23"/>
      <c r="AB52" s="23"/>
      <c r="AC52" s="23"/>
    </row>
    <row r="53" spans="1:29">
      <c r="A53" s="23"/>
      <c r="C53" s="23"/>
      <c r="D53" s="23" t="s">
        <v>213</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row>
    <row r="54" spans="1:29">
      <c r="A54" s="23"/>
      <c r="C54" s="23"/>
      <c r="D54" s="23" t="s">
        <v>216</v>
      </c>
      <c r="E54" s="23"/>
      <c r="F54" s="23"/>
      <c r="G54" s="23"/>
      <c r="H54" s="23"/>
      <c r="I54" s="23"/>
      <c r="J54" s="23"/>
      <c r="K54" s="23"/>
      <c r="L54" s="23"/>
      <c r="M54" s="23"/>
      <c r="N54" s="23"/>
      <c r="O54" s="23"/>
      <c r="P54" s="23"/>
      <c r="Q54" s="23"/>
      <c r="R54" s="23"/>
      <c r="S54" s="23"/>
      <c r="T54" s="23"/>
      <c r="U54" s="23"/>
      <c r="V54" s="23"/>
      <c r="W54" s="23"/>
      <c r="X54" s="23"/>
      <c r="Y54" s="23"/>
      <c r="Z54" s="23"/>
      <c r="AA54" s="23"/>
      <c r="AB54" s="23"/>
      <c r="AC54" s="23"/>
    </row>
    <row r="55" spans="1:29">
      <c r="A55" s="23"/>
      <c r="C55" s="23"/>
      <c r="D55" s="23" t="s">
        <v>217</v>
      </c>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spans="1:29">
      <c r="A56" s="23"/>
      <c r="C56" s="23"/>
      <c r="D56" s="23" t="s">
        <v>218</v>
      </c>
      <c r="E56" s="23"/>
      <c r="F56" s="23"/>
      <c r="G56" s="23"/>
      <c r="H56" s="23"/>
      <c r="I56" s="23"/>
      <c r="J56" s="23"/>
      <c r="K56" s="23"/>
      <c r="L56" s="23"/>
      <c r="M56" s="23"/>
      <c r="N56" s="23"/>
      <c r="O56" s="23"/>
      <c r="P56" s="23"/>
      <c r="Q56" s="23"/>
      <c r="R56" s="23"/>
      <c r="S56" s="23"/>
      <c r="T56" s="23"/>
      <c r="U56" s="23"/>
      <c r="V56" s="23"/>
      <c r="W56" s="23"/>
      <c r="X56" s="23"/>
      <c r="Y56" s="23"/>
      <c r="Z56" s="23"/>
      <c r="AA56" s="23"/>
      <c r="AB56" s="23"/>
      <c r="AC56" s="23"/>
    </row>
    <row r="57" spans="1:29">
      <c r="A57" s="23"/>
      <c r="C57" s="23"/>
      <c r="D57" s="23" t="s">
        <v>219</v>
      </c>
      <c r="E57" s="23"/>
      <c r="F57" s="23"/>
      <c r="G57" s="23"/>
      <c r="H57" s="23"/>
      <c r="I57" s="23"/>
      <c r="J57" s="23"/>
      <c r="K57" s="23"/>
      <c r="L57" s="23"/>
      <c r="M57" s="23"/>
      <c r="N57" s="23"/>
      <c r="O57" s="23"/>
      <c r="P57" s="23"/>
      <c r="Q57" s="23"/>
      <c r="R57" s="23"/>
      <c r="S57" s="23"/>
      <c r="T57" s="23"/>
      <c r="U57" s="23"/>
      <c r="V57" s="23"/>
      <c r="W57" s="23"/>
      <c r="X57" s="23"/>
      <c r="Y57" s="23"/>
      <c r="Z57" s="23"/>
      <c r="AA57" s="23"/>
      <c r="AB57" s="23"/>
      <c r="AC57" s="23"/>
    </row>
    <row r="58" spans="1:29">
      <c r="A58" s="23"/>
      <c r="C58" s="23"/>
      <c r="D58" s="23" t="s">
        <v>220</v>
      </c>
      <c r="E58" s="23"/>
      <c r="F58" s="23"/>
      <c r="G58" s="23"/>
      <c r="H58" s="23"/>
      <c r="I58" s="23"/>
      <c r="J58" s="23"/>
      <c r="K58" s="23"/>
      <c r="L58" s="23"/>
      <c r="M58" s="23"/>
      <c r="N58" s="23"/>
      <c r="O58" s="23"/>
      <c r="P58" s="23"/>
      <c r="Q58" s="23"/>
      <c r="R58" s="23"/>
      <c r="S58" s="23"/>
      <c r="T58" s="23"/>
      <c r="U58" s="23"/>
      <c r="V58" s="23"/>
      <c r="W58" s="23"/>
      <c r="X58" s="23"/>
      <c r="Y58" s="23"/>
      <c r="Z58" s="23"/>
      <c r="AA58" s="23"/>
      <c r="AB58" s="23"/>
      <c r="AC58" s="23"/>
    </row>
    <row r="59" spans="1:29">
      <c r="A59" s="23"/>
      <c r="C59" s="23"/>
      <c r="D59" s="23" t="s">
        <v>221</v>
      </c>
      <c r="E59" s="23"/>
      <c r="F59" s="23"/>
      <c r="G59" s="23"/>
      <c r="H59" s="23"/>
      <c r="I59" s="23"/>
      <c r="J59" s="23"/>
      <c r="K59" s="23"/>
      <c r="L59" s="23"/>
      <c r="M59" s="23"/>
      <c r="N59" s="23"/>
      <c r="O59" s="23"/>
      <c r="P59" s="23"/>
      <c r="Q59" s="23"/>
      <c r="R59" s="23"/>
      <c r="S59" s="23"/>
      <c r="T59" s="23"/>
      <c r="U59" s="23"/>
      <c r="V59" s="23"/>
      <c r="W59" s="23"/>
      <c r="X59" s="23"/>
      <c r="Y59" s="23"/>
      <c r="Z59" s="23"/>
      <c r="AA59" s="23"/>
      <c r="AB59" s="23"/>
      <c r="AC59" s="23"/>
    </row>
    <row r="60" spans="1:29">
      <c r="A60" s="23"/>
      <c r="C60" s="23"/>
      <c r="D60" s="23" t="s">
        <v>223</v>
      </c>
      <c r="E60" s="23"/>
      <c r="F60" s="23"/>
      <c r="G60" s="23"/>
      <c r="H60" s="23"/>
      <c r="I60" s="23"/>
      <c r="J60" s="23"/>
      <c r="K60" s="23"/>
      <c r="L60" s="23"/>
      <c r="M60" s="23"/>
      <c r="N60" s="23"/>
      <c r="O60" s="23"/>
      <c r="P60" s="23"/>
      <c r="Q60" s="23"/>
      <c r="R60" s="23"/>
      <c r="S60" s="23"/>
      <c r="T60" s="23"/>
      <c r="U60" s="23"/>
      <c r="V60" s="23"/>
      <c r="W60" s="23"/>
      <c r="X60" s="23"/>
      <c r="Y60" s="23"/>
      <c r="Z60" s="23"/>
      <c r="AA60" s="23"/>
      <c r="AB60" s="23"/>
      <c r="AC60" s="23"/>
    </row>
    <row r="61" spans="1:29">
      <c r="A61" s="23"/>
      <c r="C61" s="23"/>
      <c r="D61" s="23" t="s">
        <v>224</v>
      </c>
      <c r="E61" s="23"/>
      <c r="F61" s="23"/>
      <c r="G61" s="23"/>
      <c r="H61" s="23"/>
      <c r="I61" s="23"/>
      <c r="J61" s="23"/>
      <c r="K61" s="23"/>
      <c r="L61" s="23"/>
      <c r="M61" s="23"/>
      <c r="N61" s="23"/>
      <c r="O61" s="23"/>
      <c r="P61" s="23"/>
      <c r="Q61" s="23"/>
      <c r="R61" s="23"/>
      <c r="S61" s="23"/>
      <c r="T61" s="23"/>
      <c r="U61" s="23"/>
      <c r="V61" s="23"/>
      <c r="W61" s="23"/>
      <c r="X61" s="23"/>
      <c r="Y61" s="23"/>
      <c r="Z61" s="23"/>
      <c r="AA61" s="23"/>
      <c r="AB61" s="23"/>
      <c r="AC61" s="23"/>
    </row>
    <row r="62" spans="1:29">
      <c r="A62" s="23"/>
      <c r="C62" s="23"/>
      <c r="D62" s="23" t="s">
        <v>226</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row>
    <row r="63" spans="1:29">
      <c r="A63" s="23"/>
      <c r="C63" s="23"/>
      <c r="D63" s="23" t="s">
        <v>228</v>
      </c>
      <c r="E63" s="23"/>
      <c r="F63" s="23"/>
      <c r="G63" s="23"/>
      <c r="H63" s="23"/>
      <c r="I63" s="23"/>
      <c r="J63" s="23"/>
      <c r="K63" s="23"/>
      <c r="L63" s="23"/>
      <c r="M63" s="23"/>
      <c r="N63" s="23"/>
      <c r="O63" s="23"/>
      <c r="P63" s="23"/>
      <c r="Q63" s="23"/>
      <c r="R63" s="23"/>
      <c r="S63" s="23"/>
      <c r="T63" s="23"/>
      <c r="U63" s="23"/>
      <c r="V63" s="23"/>
      <c r="W63" s="23"/>
      <c r="X63" s="23"/>
      <c r="Y63" s="23"/>
      <c r="Z63" s="23"/>
      <c r="AA63" s="23"/>
      <c r="AB63" s="23"/>
      <c r="AC63" s="23"/>
    </row>
    <row r="64" spans="1:29">
      <c r="A64" s="23"/>
      <c r="C64" s="23"/>
      <c r="D64" s="23" t="s">
        <v>229</v>
      </c>
      <c r="E64" s="23"/>
      <c r="F64" s="23"/>
      <c r="G64" s="23"/>
      <c r="H64" s="23"/>
      <c r="I64" s="23"/>
      <c r="J64" s="23"/>
      <c r="K64" s="23"/>
      <c r="L64" s="23"/>
      <c r="M64" s="23"/>
      <c r="N64" s="23"/>
      <c r="O64" s="23"/>
      <c r="P64" s="23"/>
      <c r="Q64" s="23"/>
      <c r="R64" s="23"/>
      <c r="S64" s="23"/>
      <c r="T64" s="23"/>
      <c r="U64" s="23"/>
      <c r="V64" s="23"/>
      <c r="W64" s="23"/>
      <c r="X64" s="23"/>
      <c r="Y64" s="23"/>
      <c r="Z64" s="23"/>
      <c r="AA64" s="23"/>
      <c r="AB64" s="23"/>
      <c r="AC64" s="23"/>
    </row>
    <row r="65" spans="1:29">
      <c r="A65" s="23"/>
      <c r="C65" s="23"/>
      <c r="D65" s="23" t="s">
        <v>231</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row>
    <row r="66" spans="1:29">
      <c r="A66" s="23"/>
      <c r="C66" s="23"/>
      <c r="D66" s="23" t="s">
        <v>232</v>
      </c>
      <c r="E66" s="23"/>
      <c r="F66" s="23"/>
      <c r="G66" s="23"/>
      <c r="H66" s="23"/>
      <c r="I66" s="23"/>
      <c r="J66" s="23"/>
      <c r="K66" s="23"/>
      <c r="L66" s="23"/>
      <c r="M66" s="23"/>
      <c r="N66" s="23"/>
      <c r="O66" s="23"/>
      <c r="P66" s="23"/>
      <c r="Q66" s="23"/>
      <c r="R66" s="23"/>
      <c r="S66" s="23"/>
      <c r="T66" s="23"/>
      <c r="U66" s="23"/>
      <c r="V66" s="23"/>
      <c r="W66" s="23"/>
      <c r="X66" s="23"/>
      <c r="Y66" s="23"/>
      <c r="Z66" s="23"/>
      <c r="AA66" s="23"/>
      <c r="AB66" s="23"/>
      <c r="AC66" s="23"/>
    </row>
    <row r="67" spans="1:29">
      <c r="A67" s="23"/>
      <c r="C67" s="23"/>
      <c r="D67" s="23" t="s">
        <v>233</v>
      </c>
      <c r="E67" s="23"/>
      <c r="F67" s="23"/>
      <c r="G67" s="23"/>
      <c r="H67" s="23"/>
      <c r="I67" s="23"/>
      <c r="J67" s="23"/>
      <c r="K67" s="23"/>
      <c r="L67" s="23"/>
      <c r="M67" s="23"/>
      <c r="N67" s="23"/>
      <c r="O67" s="23"/>
      <c r="P67" s="23"/>
      <c r="Q67" s="23"/>
      <c r="R67" s="23"/>
      <c r="S67" s="23"/>
      <c r="T67" s="23"/>
      <c r="U67" s="23"/>
      <c r="V67" s="23"/>
      <c r="W67" s="23"/>
      <c r="X67" s="23"/>
      <c r="Y67" s="23"/>
      <c r="Z67" s="23"/>
      <c r="AA67" s="23"/>
      <c r="AB67" s="23"/>
      <c r="AC67" s="23"/>
    </row>
    <row r="68" spans="1:29">
      <c r="A68" s="23"/>
      <c r="C68" s="23"/>
      <c r="D68" s="23" t="s">
        <v>234</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row>
    <row r="69" spans="1:29">
      <c r="A69" s="23"/>
      <c r="C69" s="23"/>
      <c r="D69" s="23" t="s">
        <v>238</v>
      </c>
      <c r="E69" s="23"/>
      <c r="F69" s="23"/>
      <c r="G69" s="23"/>
      <c r="H69" s="23"/>
      <c r="I69" s="23"/>
      <c r="J69" s="23"/>
      <c r="K69" s="23"/>
      <c r="L69" s="23"/>
      <c r="M69" s="23"/>
      <c r="N69" s="23"/>
      <c r="O69" s="23"/>
      <c r="P69" s="23"/>
      <c r="Q69" s="23"/>
      <c r="R69" s="23"/>
      <c r="S69" s="23"/>
      <c r="T69" s="23"/>
      <c r="U69" s="23"/>
      <c r="V69" s="23"/>
      <c r="W69" s="23"/>
      <c r="X69" s="23"/>
      <c r="Y69" s="23"/>
      <c r="Z69" s="23"/>
      <c r="AA69" s="23"/>
      <c r="AB69" s="23"/>
      <c r="AC69" s="23"/>
    </row>
    <row r="70" spans="1:29">
      <c r="A70" s="23"/>
      <c r="C70" s="23"/>
      <c r="D70" s="23" t="s">
        <v>239</v>
      </c>
      <c r="E70" s="23"/>
      <c r="F70" s="23"/>
      <c r="G70" s="23"/>
      <c r="H70" s="23"/>
      <c r="I70" s="23"/>
      <c r="J70" s="23"/>
      <c r="K70" s="23"/>
      <c r="L70" s="23"/>
      <c r="M70" s="23"/>
      <c r="N70" s="23"/>
      <c r="O70" s="23"/>
      <c r="P70" s="23"/>
      <c r="Q70" s="23"/>
      <c r="R70" s="23"/>
      <c r="S70" s="23"/>
      <c r="T70" s="23"/>
      <c r="U70" s="23"/>
      <c r="V70" s="23"/>
      <c r="W70" s="23"/>
      <c r="X70" s="23"/>
      <c r="Y70" s="23"/>
      <c r="Z70" s="23"/>
      <c r="AA70" s="23"/>
      <c r="AB70" s="23"/>
      <c r="AC70" s="23"/>
    </row>
    <row r="71" spans="1:29">
      <c r="A71" s="23"/>
      <c r="C71" s="23"/>
      <c r="D71" s="23" t="s">
        <v>240</v>
      </c>
      <c r="E71" s="23"/>
      <c r="F71" s="23"/>
      <c r="G71" s="23"/>
      <c r="H71" s="23"/>
      <c r="I71" s="23"/>
      <c r="J71" s="23"/>
      <c r="K71" s="23"/>
      <c r="L71" s="23"/>
      <c r="M71" s="23"/>
      <c r="N71" s="23"/>
      <c r="O71" s="23"/>
      <c r="P71" s="23"/>
      <c r="Q71" s="23"/>
      <c r="R71" s="23"/>
      <c r="S71" s="23"/>
      <c r="T71" s="23"/>
      <c r="U71" s="23"/>
      <c r="V71" s="23"/>
      <c r="W71" s="23"/>
      <c r="X71" s="23"/>
      <c r="Y71" s="23"/>
      <c r="Z71" s="23"/>
      <c r="AA71" s="23"/>
      <c r="AB71" s="23"/>
      <c r="AC71" s="23"/>
    </row>
    <row r="72" spans="1:29">
      <c r="A72" s="23"/>
      <c r="C72" s="23"/>
      <c r="D72" s="23" t="s">
        <v>241</v>
      </c>
      <c r="E72" s="23"/>
      <c r="F72" s="23"/>
      <c r="G72" s="23"/>
      <c r="H72" s="23"/>
      <c r="I72" s="23"/>
      <c r="J72" s="23"/>
      <c r="K72" s="23"/>
      <c r="L72" s="23"/>
      <c r="M72" s="23"/>
      <c r="N72" s="23"/>
      <c r="O72" s="23"/>
      <c r="P72" s="23"/>
      <c r="Q72" s="23"/>
      <c r="R72" s="23"/>
      <c r="S72" s="23"/>
      <c r="T72" s="23"/>
      <c r="U72" s="23"/>
      <c r="V72" s="23"/>
      <c r="W72" s="23"/>
      <c r="X72" s="23"/>
      <c r="Y72" s="23"/>
      <c r="Z72" s="23"/>
      <c r="AA72" s="23"/>
      <c r="AB72" s="23"/>
      <c r="AC72" s="23"/>
    </row>
    <row r="73" spans="1:29">
      <c r="A73" s="23"/>
      <c r="C73" s="23"/>
      <c r="D73" s="23" t="s">
        <v>244</v>
      </c>
      <c r="E73" s="23"/>
      <c r="F73" s="23"/>
      <c r="G73" s="23"/>
      <c r="H73" s="23"/>
      <c r="I73" s="23"/>
      <c r="J73" s="23"/>
      <c r="K73" s="23"/>
      <c r="L73" s="23"/>
      <c r="M73" s="23"/>
      <c r="N73" s="23"/>
      <c r="O73" s="23"/>
      <c r="P73" s="23"/>
      <c r="Q73" s="23"/>
      <c r="R73" s="23"/>
      <c r="S73" s="23"/>
      <c r="T73" s="23"/>
      <c r="U73" s="23"/>
      <c r="V73" s="23"/>
      <c r="W73" s="23"/>
      <c r="X73" s="23"/>
      <c r="Y73" s="23"/>
      <c r="Z73" s="23"/>
      <c r="AA73" s="23"/>
      <c r="AB73" s="23"/>
      <c r="AC73" s="23"/>
    </row>
    <row r="74" spans="1:29">
      <c r="A74" s="23"/>
      <c r="C74" s="23"/>
      <c r="D74" s="23" t="s">
        <v>246</v>
      </c>
      <c r="E74" s="23"/>
      <c r="F74" s="23"/>
      <c r="G74" s="23"/>
      <c r="H74" s="23"/>
      <c r="I74" s="23"/>
      <c r="J74" s="23"/>
      <c r="K74" s="23"/>
      <c r="L74" s="23"/>
      <c r="M74" s="23"/>
      <c r="N74" s="23"/>
      <c r="O74" s="23"/>
      <c r="P74" s="23"/>
      <c r="Q74" s="23"/>
      <c r="R74" s="23"/>
      <c r="S74" s="23"/>
      <c r="T74" s="23"/>
      <c r="U74" s="23"/>
      <c r="V74" s="23"/>
      <c r="W74" s="23"/>
      <c r="X74" s="23"/>
      <c r="Y74" s="23"/>
      <c r="Z74" s="23"/>
      <c r="AA74" s="23"/>
      <c r="AB74" s="23"/>
      <c r="AC74" s="23"/>
    </row>
    <row r="75" spans="1:29">
      <c r="A75" s="23"/>
      <c r="C75" s="23"/>
      <c r="D75" s="23" t="s">
        <v>247</v>
      </c>
      <c r="E75" s="23"/>
      <c r="F75" s="23"/>
      <c r="G75" s="23"/>
      <c r="H75" s="23"/>
      <c r="I75" s="23"/>
      <c r="J75" s="23"/>
      <c r="K75" s="23"/>
      <c r="L75" s="23"/>
      <c r="M75" s="23"/>
      <c r="N75" s="23"/>
      <c r="O75" s="23"/>
      <c r="P75" s="23"/>
      <c r="Q75" s="23"/>
      <c r="R75" s="23"/>
      <c r="S75" s="23"/>
      <c r="T75" s="23"/>
      <c r="U75" s="23"/>
      <c r="V75" s="23"/>
      <c r="W75" s="23"/>
      <c r="X75" s="23"/>
      <c r="Y75" s="23"/>
      <c r="Z75" s="23"/>
      <c r="AA75" s="23"/>
      <c r="AB75" s="23"/>
      <c r="AC75" s="23"/>
    </row>
    <row r="76" spans="1:29">
      <c r="A76" s="23"/>
      <c r="C76" s="23"/>
      <c r="D76" s="23" t="s">
        <v>248</v>
      </c>
      <c r="E76" s="23"/>
      <c r="F76" s="23"/>
      <c r="G76" s="23"/>
      <c r="H76" s="23"/>
      <c r="I76" s="23"/>
      <c r="J76" s="23"/>
      <c r="K76" s="23"/>
      <c r="L76" s="23"/>
      <c r="M76" s="23"/>
      <c r="N76" s="23"/>
      <c r="O76" s="23"/>
      <c r="P76" s="23"/>
      <c r="Q76" s="23"/>
      <c r="R76" s="23"/>
      <c r="S76" s="23"/>
      <c r="T76" s="23"/>
      <c r="U76" s="23"/>
      <c r="V76" s="23"/>
      <c r="W76" s="23"/>
      <c r="X76" s="23"/>
      <c r="Y76" s="23"/>
      <c r="Z76" s="23"/>
      <c r="AA76" s="23"/>
      <c r="AB76" s="23"/>
      <c r="AC76" s="23"/>
    </row>
    <row r="77" spans="1:29">
      <c r="A77" s="23"/>
      <c r="C77" s="23"/>
      <c r="D77" s="23" t="s">
        <v>250</v>
      </c>
      <c r="E77" s="23"/>
      <c r="F77" s="23"/>
      <c r="G77" s="23"/>
      <c r="H77" s="23"/>
      <c r="I77" s="23"/>
      <c r="J77" s="23"/>
      <c r="K77" s="23"/>
      <c r="L77" s="23"/>
      <c r="M77" s="23"/>
      <c r="N77" s="23"/>
      <c r="O77" s="23"/>
      <c r="P77" s="23"/>
      <c r="Q77" s="23"/>
      <c r="R77" s="23"/>
      <c r="S77" s="23"/>
      <c r="T77" s="23"/>
      <c r="U77" s="23"/>
      <c r="V77" s="23"/>
      <c r="W77" s="23"/>
      <c r="X77" s="23"/>
      <c r="Y77" s="23"/>
      <c r="Z77" s="23"/>
      <c r="AA77" s="23"/>
      <c r="AB77" s="23"/>
      <c r="AC77" s="23"/>
    </row>
    <row r="78" spans="1:29">
      <c r="A78" s="23"/>
      <c r="C78" s="23"/>
      <c r="D78" s="23" t="s">
        <v>251</v>
      </c>
      <c r="E78" s="23"/>
      <c r="F78" s="23"/>
      <c r="G78" s="23"/>
      <c r="H78" s="23"/>
      <c r="I78" s="23"/>
      <c r="J78" s="23"/>
      <c r="K78" s="23"/>
      <c r="L78" s="23"/>
      <c r="M78" s="23"/>
      <c r="N78" s="23"/>
      <c r="O78" s="23"/>
      <c r="P78" s="23"/>
      <c r="Q78" s="23"/>
      <c r="R78" s="23"/>
      <c r="S78" s="23"/>
      <c r="T78" s="23"/>
      <c r="U78" s="23"/>
      <c r="V78" s="23"/>
      <c r="W78" s="23"/>
      <c r="X78" s="23"/>
      <c r="Y78" s="23"/>
      <c r="Z78" s="23"/>
      <c r="AA78" s="23"/>
      <c r="AB78" s="23"/>
      <c r="AC78" s="23"/>
    </row>
    <row r="79" spans="1:29">
      <c r="A79" s="23"/>
      <c r="C79" s="23"/>
      <c r="D79" s="23" t="s">
        <v>252</v>
      </c>
      <c r="E79" s="23"/>
      <c r="F79" s="23"/>
      <c r="G79" s="23"/>
      <c r="H79" s="23"/>
      <c r="I79" s="23"/>
      <c r="J79" s="23"/>
      <c r="K79" s="23"/>
      <c r="L79" s="23"/>
      <c r="M79" s="23"/>
      <c r="N79" s="23"/>
      <c r="O79" s="23"/>
      <c r="P79" s="23"/>
      <c r="Q79" s="23"/>
      <c r="R79" s="23"/>
      <c r="S79" s="23"/>
      <c r="T79" s="23"/>
      <c r="U79" s="23"/>
      <c r="V79" s="23"/>
      <c r="W79" s="23"/>
      <c r="X79" s="23"/>
      <c r="Y79" s="23"/>
      <c r="Z79" s="23"/>
      <c r="AA79" s="23"/>
      <c r="AB79" s="23"/>
      <c r="AC79" s="23"/>
    </row>
    <row r="80" spans="1:29">
      <c r="A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row>
    <row r="81" spans="1:29">
      <c r="A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row>
    <row r="82" spans="1:29">
      <c r="A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row>
    <row r="83" spans="1:29">
      <c r="A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row>
    <row r="84" spans="1:29">
      <c r="A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row>
    <row r="85" spans="1:29">
      <c r="A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row>
    <row r="86" spans="1:29">
      <c r="A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row>
    <row r="87" spans="1:29">
      <c r="A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row>
    <row r="88" spans="1:29">
      <c r="A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row>
    <row r="89" spans="1:29">
      <c r="A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row>
    <row r="90" spans="1:29">
      <c r="A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row>
    <row r="91" spans="1:29">
      <c r="A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row>
    <row r="92" spans="1:29">
      <c r="A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row>
    <row r="93" spans="1:29">
      <c r="A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row>
    <row r="94" spans="1:29">
      <c r="A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row>
    <row r="95" spans="1:29">
      <c r="A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spans="1:29">
      <c r="A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row>
    <row r="97" spans="1:29">
      <c r="A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row>
    <row r="98" spans="1:29">
      <c r="A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row>
    <row r="99" spans="1:29">
      <c r="A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spans="1:29">
      <c r="A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row>
    <row r="101" spans="1:29">
      <c r="A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row>
    <row r="102" spans="1:29">
      <c r="A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row>
    <row r="103" spans="1:29">
      <c r="A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row>
    <row r="104" spans="1:29">
      <c r="A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spans="1:29">
      <c r="A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row>
    <row r="106" spans="1:29">
      <c r="A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row>
    <row r="107" spans="1:29">
      <c r="A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row>
    <row r="108" spans="1:29">
      <c r="A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row>
    <row r="109" spans="1:29">
      <c r="A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row>
    <row r="110" spans="1:29">
      <c r="A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row>
    <row r="111" spans="1:29">
      <c r="A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row>
    <row r="112" spans="1:29">
      <c r="A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row>
    <row r="113" spans="1:29">
      <c r="A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row>
    <row r="114" spans="1:29">
      <c r="A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row>
    <row r="115" spans="1:29">
      <c r="A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row>
    <row r="116" spans="1:29">
      <c r="A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row>
    <row r="117" spans="1:29">
      <c r="A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row>
    <row r="118" spans="1:29">
      <c r="A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row>
    <row r="119" spans="1:29">
      <c r="A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row>
    <row r="120" spans="1:29">
      <c r="A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row>
    <row r="121" spans="1:29">
      <c r="A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row>
    <row r="122" spans="1:29">
      <c r="A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row>
    <row r="123" spans="1:29">
      <c r="A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row>
    <row r="124" spans="1:29">
      <c r="A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row>
    <row r="125" spans="1:29">
      <c r="A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row>
    <row r="126" spans="1:29">
      <c r="A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row>
    <row r="127" spans="1:29">
      <c r="A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row>
    <row r="128" spans="1:29">
      <c r="A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row>
    <row r="129" spans="1:29">
      <c r="A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row>
    <row r="130" spans="1:29">
      <c r="A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row>
    <row r="131" spans="1:29">
      <c r="A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row>
    <row r="132" spans="1:29">
      <c r="A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row>
    <row r="133" spans="1:29">
      <c r="A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row>
    <row r="134" spans="1:29">
      <c r="A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row>
    <row r="135" spans="1:29">
      <c r="A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row>
    <row r="136" spans="1:29">
      <c r="A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row>
    <row r="137" spans="1:29">
      <c r="A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row>
    <row r="138" spans="1:29">
      <c r="A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row>
    <row r="139" spans="1:29">
      <c r="A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row>
    <row r="140" spans="1:29">
      <c r="A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row>
    <row r="141" spans="1:29">
      <c r="A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row>
    <row r="142" spans="1:29">
      <c r="A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row>
    <row r="143" spans="1:29">
      <c r="A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row>
    <row r="144" spans="1:29">
      <c r="A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row>
    <row r="145" spans="1:29">
      <c r="A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row>
    <row r="146" spans="1:29">
      <c r="A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row>
    <row r="147" spans="1:29">
      <c r="A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row>
    <row r="148" spans="1:29">
      <c r="A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row>
    <row r="149" spans="1:29">
      <c r="A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row>
    <row r="150" spans="1:29">
      <c r="A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row>
    <row r="151" spans="1:29">
      <c r="A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row>
    <row r="152" spans="1:29">
      <c r="A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row>
    <row r="153" spans="1:29">
      <c r="A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row>
    <row r="154" spans="1:29">
      <c r="A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row>
    <row r="155" spans="1:29">
      <c r="A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row>
    <row r="156" spans="1:29">
      <c r="A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row>
    <row r="157" spans="1:29">
      <c r="A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row>
    <row r="158" spans="1:29">
      <c r="A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row>
    <row r="159" spans="1:29">
      <c r="A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row>
    <row r="160" spans="1:29">
      <c r="A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row>
    <row r="161" spans="1:29">
      <c r="A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row>
    <row r="162" spans="1:29">
      <c r="A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row>
    <row r="163" spans="1:29">
      <c r="A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row>
    <row r="164" spans="1:29">
      <c r="A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row>
    <row r="165" spans="1:29">
      <c r="A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row>
    <row r="166" spans="1:29">
      <c r="A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row>
    <row r="167" spans="1:29">
      <c r="A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row>
    <row r="168" spans="1:29">
      <c r="A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row>
    <row r="169" spans="1:29">
      <c r="A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row>
    <row r="170" spans="1:29">
      <c r="A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row>
    <row r="171" spans="1:29">
      <c r="A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row>
    <row r="172" spans="1:29">
      <c r="A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row>
    <row r="173" spans="1:29">
      <c r="A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row>
    <row r="174" spans="1:29">
      <c r="A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row>
    <row r="175" spans="1:29">
      <c r="A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row>
    <row r="176" spans="1:29">
      <c r="A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row>
    <row r="177" spans="1:29">
      <c r="A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row>
    <row r="178" spans="1:29">
      <c r="A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row>
    <row r="179" spans="1:29">
      <c r="A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row>
    <row r="180" spans="1:29">
      <c r="A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row>
    <row r="181" spans="1:29">
      <c r="A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row>
    <row r="182" spans="1:29">
      <c r="A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row>
    <row r="183" spans="1:29">
      <c r="A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row>
    <row r="184" spans="1:29">
      <c r="A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row>
    <row r="185" spans="1:29">
      <c r="A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row>
    <row r="186" spans="1:29">
      <c r="A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row>
    <row r="187" spans="1:29">
      <c r="A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row>
    <row r="188" spans="1:29">
      <c r="A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row>
    <row r="189" spans="1:29">
      <c r="A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row>
    <row r="190" spans="1:29">
      <c r="A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row>
    <row r="191" spans="1:29">
      <c r="A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row>
    <row r="192" spans="1:29">
      <c r="A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row>
    <row r="193" spans="1:29">
      <c r="A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row>
    <row r="194" spans="1:29">
      <c r="A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row>
    <row r="195" spans="1:29">
      <c r="A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row>
    <row r="196" spans="1:29">
      <c r="A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row>
    <row r="197" spans="1:29">
      <c r="A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row>
    <row r="198" spans="1:29">
      <c r="A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row>
    <row r="199" spans="1:29">
      <c r="A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row>
    <row r="200" spans="1:29">
      <c r="A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row>
    <row r="201" spans="1:29">
      <c r="A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row>
    <row r="202" spans="1:29">
      <c r="A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row>
    <row r="203" spans="1:29">
      <c r="A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row>
    <row r="204" spans="1:29">
      <c r="A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row>
    <row r="205" spans="1:29">
      <c r="A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row>
    <row r="206" spans="1:29">
      <c r="A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row>
    <row r="207" spans="1:29">
      <c r="A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row>
    <row r="208" spans="1:29">
      <c r="A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row>
    <row r="209" spans="1:29">
      <c r="A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row>
    <row r="210" spans="1:29">
      <c r="A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row>
    <row r="211" spans="1:29">
      <c r="A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row>
    <row r="212" spans="1:29">
      <c r="A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row>
    <row r="213" spans="1:29">
      <c r="A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row>
    <row r="214" spans="1:29">
      <c r="A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row>
    <row r="215" spans="1:29">
      <c r="A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row>
    <row r="216" spans="1:29">
      <c r="A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row>
    <row r="217" spans="1:29">
      <c r="A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row>
    <row r="218" spans="1:29">
      <c r="A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row>
    <row r="219" spans="1:29">
      <c r="A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row>
    <row r="220" spans="1:29">
      <c r="A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row>
    <row r="221" spans="1:29">
      <c r="A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row>
    <row r="222" spans="1:29">
      <c r="A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row>
    <row r="223" spans="1:29">
      <c r="A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row>
    <row r="224" spans="1:29">
      <c r="A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row>
    <row r="225" spans="1:29">
      <c r="A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row>
    <row r="226" spans="1:29">
      <c r="A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row>
    <row r="227" spans="1:29">
      <c r="A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row>
    <row r="228" spans="1:29">
      <c r="A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row>
    <row r="229" spans="1:29">
      <c r="A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row>
    <row r="230" spans="1:29">
      <c r="A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row>
    <row r="231" spans="1:29">
      <c r="A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row>
    <row r="232" spans="1:29">
      <c r="A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row>
    <row r="233" spans="1:29">
      <c r="A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spans="1:29">
      <c r="A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spans="1:29">
      <c r="A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spans="1:29">
      <c r="A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spans="1:29">
      <c r="A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spans="1:29">
      <c r="A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spans="1:29">
      <c r="A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row>
    <row r="240" spans="1:29">
      <c r="A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row>
    <row r="241" spans="1:29">
      <c r="A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row>
    <row r="242" spans="1:29">
      <c r="A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row>
    <row r="243" spans="1:29">
      <c r="A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row>
    <row r="244" spans="1:29">
      <c r="A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spans="1:29">
      <c r="A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spans="1:29">
      <c r="A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spans="1:29">
      <c r="A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spans="1:29">
      <c r="A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spans="1:29">
      <c r="A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spans="1:29">
      <c r="A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sheetData>
  <sheetProtection algorithmName="SHA-512" hashValue="mqfVVRqEUrQKTYwGsHsjjqcX/8IJ0w28a7szf/RixPgLElX/yuZxTRdQ3gYiQzfBTsdZoTuRb8Mn17pcvK0iKw==" saltValue="f8aJHzTVslLUCNassccCzg=="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2ed26ac2-af62-4944-89f3-6880d685c0bb" xsi:nil="true"/>
    <TaxCatchAll xmlns="d4980e14-f4ea-4f02-a24c-525c54321827" xsi:nil="true"/>
    <lcf76f155ced4ddcb4097134ff3c332f xmlns="2ed26ac2-af62-4944-89f3-6880d685c0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5968640C75084884946041580C1F1C" ma:contentTypeVersion="17" ma:contentTypeDescription="Create a new document." ma:contentTypeScope="" ma:versionID="1fdea62aacb95a9b054e0e103d22b379">
  <xsd:schema xmlns:xsd="http://www.w3.org/2001/XMLSchema" xmlns:xs="http://www.w3.org/2001/XMLSchema" xmlns:p="http://schemas.microsoft.com/office/2006/metadata/properties" xmlns:ns2="2ed26ac2-af62-4944-89f3-6880d685c0bb" xmlns:ns3="d4980e14-f4ea-4f02-a24c-525c54321827" targetNamespace="http://schemas.microsoft.com/office/2006/metadata/properties" ma:root="true" ma:fieldsID="6c7c39fed6128460e39d12f40ea3a101" ns2:_="" ns3:_="">
    <xsd:import namespace="2ed26ac2-af62-4944-89f3-6880d685c0bb"/>
    <xsd:import namespace="d4980e14-f4ea-4f02-a24c-525c5432182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te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26ac2-af62-4944-89f3-6880d685c0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tes" ma:index="14" nillable="true" ma:displayName="Notes" ma:format="Dropdown" ma:internalName="Notes">
      <xsd:simpleType>
        <xsd:restriction base="dms:Text">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0a8953a-0f76-4065-aa02-9ef2a37d28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980e14-f4ea-4f02-a24c-525c5432182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78fb368-e8d2-45d9-ab82-738e5661f72f}" ma:internalName="TaxCatchAll" ma:showField="CatchAllData" ma:web="d4980e14-f4ea-4f02-a24c-525c543218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4B2B0-92C4-4A51-84D5-0038F343A5B8}">
  <ds:schemaRefs>
    <ds:schemaRef ds:uri="http://schemas.microsoft.com/office/2006/metadata/properties"/>
    <ds:schemaRef ds:uri="d4980e14-f4ea-4f02-a24c-525c54321827"/>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2ed26ac2-af62-4944-89f3-6880d685c0bb"/>
    <ds:schemaRef ds:uri="http://purl.org/dc/dcmitype/"/>
    <ds:schemaRef ds:uri="http://purl.org/dc/terms/"/>
  </ds:schemaRefs>
</ds:datastoreItem>
</file>

<file path=customXml/itemProps2.xml><?xml version="1.0" encoding="utf-8"?>
<ds:datastoreItem xmlns:ds="http://schemas.openxmlformats.org/officeDocument/2006/customXml" ds:itemID="{A3497DD9-0A6F-4DB4-85C7-7D93B8C4F3B7}">
  <ds:schemaRefs>
    <ds:schemaRef ds:uri="http://schemas.microsoft.com/sharepoint/v3/contenttype/forms"/>
  </ds:schemaRefs>
</ds:datastoreItem>
</file>

<file path=customXml/itemProps3.xml><?xml version="1.0" encoding="utf-8"?>
<ds:datastoreItem xmlns:ds="http://schemas.openxmlformats.org/officeDocument/2006/customXml" ds:itemID="{C6393BBF-0A75-4F83-955E-1E87B385E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26ac2-af62-4944-89f3-6880d685c0bb"/>
    <ds:schemaRef ds:uri="d4980e14-f4ea-4f02-a24c-525c543218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Form </vt:lpstr>
      <vt:lpstr>Drop Down 1</vt:lpstr>
      <vt:lpstr>Drop Down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Ghuman, Mandeep (206485273)</dc:creator>
  <cp:keywords/>
  <dc:description/>
  <cp:lastModifiedBy>Ghuman, Manni (NBCUniversal)</cp:lastModifiedBy>
  <cp:revision/>
  <dcterms:created xsi:type="dcterms:W3CDTF">2020-02-06T13:07:41Z</dcterms:created>
  <dcterms:modified xsi:type="dcterms:W3CDTF">2025-01-08T09:55:14Z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0x010100415968640C75084884946041580C1F1C</vt:lpwstr>
  </property>
  <property fmtid="{D5CDD505-2E9C-101B-9397-08002B2CF9AE}" pid="3" name="MediaServiceImageTags">
    <vt:lpwstr/>
  </property>
</Properties>
</file>